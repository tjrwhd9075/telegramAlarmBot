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0730" windowHeight="11760" tabRatio="600" firstSheet="0" activeTab="0" autoFilterDateGrouping="1"/>
  </bookViews>
  <sheets>
    <sheet xmlns:r="http://schemas.openxmlformats.org/officeDocument/2006/relationships" name="한국" sheetId="1" state="visible" r:id="rId1"/>
  </sheets>
  <definedNames>
    <definedName name="미국ETF평가">#REF!</definedName>
    <definedName name="미국금융평가">#REF!</definedName>
    <definedName name="미국바이오평가">#REF!</definedName>
    <definedName name="미국서비스평가">#REF!</definedName>
    <definedName name="미국소비재평가">#REF!</definedName>
    <definedName name="미국운송평가">#REF!</definedName>
    <definedName name="미국자본재평가">#REF!</definedName>
    <definedName name="미국자산">#REF!</definedName>
    <definedName name="미국테크평가">#REF!</definedName>
    <definedName name="총자산">#REF!</definedName>
    <definedName name="한국ETF평가">#REF!</definedName>
    <definedName name="한국금융평가">#REF!</definedName>
    <definedName name="한국바이오평가">#REF!</definedName>
    <definedName name="한국서비스평가">#REF!</definedName>
    <definedName name="한국소비재평가">#REF!</definedName>
    <definedName name="한국운송평가">#REF!</definedName>
    <definedName name="한국자본재평가">#REF!</definedName>
    <definedName name="한국자산">#REF!</definedName>
    <definedName name="한국테크평가">#REF!</definedName>
    <definedName name="환율">#REF!</definedName>
    <definedName name="_xlnm._FilterDatabase" localSheetId="0" hidden="1">'한국'!$A$1:$M$1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_-&quot;₩&quot;* #,##0_-;\-&quot;₩&quot;* #,##0_-;_-&quot;₩&quot;* &quot;-&quot;_-;_-@_-"/>
    <numFmt numFmtId="165" formatCode="_-&quot;₩&quot;* #,##0.00_-;\-&quot;₩&quot;* #,##0.00_-;_-&quot;₩&quot;* &quot;-&quot;??_-;_-@_-"/>
  </numFmts>
  <fonts count="3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돋움"/>
      <charset val="129"/>
      <family val="3"/>
      <sz val="11"/>
    </font>
  </fonts>
  <fills count="3">
    <fill>
      <patternFill/>
    </fill>
    <fill>
      <patternFill patternType="gray125"/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</borders>
  <cellStyleXfs count="2">
    <xf numFmtId="0" fontId="0" fillId="0" borderId="0" applyAlignment="1">
      <alignment vertical="center"/>
    </xf>
    <xf numFmtId="0" fontId="2" fillId="0" borderId="0" applyAlignment="1">
      <alignment vertical="center"/>
    </xf>
  </cellStyleXfs>
  <cellXfs count="55">
    <xf numFmtId="0" fontId="0" fillId="0" borderId="0" applyAlignment="1" pivotButton="0" quotePrefix="0" xfId="0">
      <alignment vertical="center"/>
    </xf>
    <xf numFmtId="0" fontId="2" fillId="0" borderId="10" applyAlignment="1" pivotButton="0" quotePrefix="0" xfId="1">
      <alignment horizontal="center" vertical="center"/>
    </xf>
    <xf numFmtId="164" fontId="2" fillId="0" borderId="9" applyAlignment="1" pivotButton="0" quotePrefix="0" xfId="1">
      <alignment horizontal="center" vertical="center"/>
    </xf>
    <xf numFmtId="0" fontId="2" fillId="0" borderId="9" applyAlignment="1" pivotButton="0" quotePrefix="0" xfId="1">
      <alignment vertical="center"/>
    </xf>
    <xf numFmtId="10" fontId="2" fillId="0" borderId="9" applyAlignment="1" pivotButton="0" quotePrefix="0" xfId="1">
      <alignment horizontal="center" vertical="center"/>
    </xf>
    <xf numFmtId="10" fontId="2" fillId="0" borderId="11" applyAlignment="1" pivotButton="0" quotePrefix="0" xfId="1">
      <alignment horizontal="center" vertical="center"/>
    </xf>
    <xf numFmtId="164" fontId="2" fillId="0" borderId="0" applyAlignment="1" pivotButton="0" quotePrefix="0" xfId="1">
      <alignment horizontal="center" vertical="center"/>
    </xf>
    <xf numFmtId="0" fontId="2" fillId="0" borderId="0" applyAlignment="1" pivotButton="0" quotePrefix="0" xfId="1">
      <alignment vertical="center"/>
    </xf>
    <xf numFmtId="10" fontId="2" fillId="0" borderId="0" applyAlignment="1" pivotButton="0" quotePrefix="0" xfId="1">
      <alignment horizontal="center" vertical="center"/>
    </xf>
    <xf numFmtId="10" fontId="2" fillId="0" borderId="14" applyAlignment="1" pivotButton="0" quotePrefix="0" xfId="1">
      <alignment horizontal="center" vertical="center"/>
    </xf>
    <xf numFmtId="0" fontId="2" fillId="0" borderId="15" applyAlignment="1" pivotButton="0" quotePrefix="0" xfId="1">
      <alignment horizontal="center" vertical="center"/>
    </xf>
    <xf numFmtId="0" fontId="2" fillId="0" borderId="16" applyAlignment="1" pivotButton="0" quotePrefix="0" xfId="1">
      <alignment vertical="center"/>
    </xf>
    <xf numFmtId="164" fontId="2" fillId="0" borderId="16" applyAlignment="1" pivotButton="0" quotePrefix="0" xfId="1">
      <alignment horizontal="center" vertical="center"/>
    </xf>
    <xf numFmtId="10" fontId="2" fillId="0" borderId="16" applyAlignment="1" pivotButton="0" quotePrefix="0" xfId="1">
      <alignment horizontal="center" vertical="center"/>
    </xf>
    <xf numFmtId="10" fontId="2" fillId="0" borderId="17" applyAlignment="1" pivotButton="0" quotePrefix="0" xfId="1">
      <alignment horizontal="center" vertical="center"/>
    </xf>
    <xf numFmtId="164" fontId="2" fillId="0" borderId="19" applyAlignment="1" pivotButton="0" quotePrefix="0" xfId="1">
      <alignment horizontal="center" vertical="center"/>
    </xf>
    <xf numFmtId="0" fontId="2" fillId="0" borderId="19" applyAlignment="1" pivotButton="0" quotePrefix="0" xfId="1">
      <alignment vertical="center"/>
    </xf>
    <xf numFmtId="10" fontId="2" fillId="0" borderId="19" applyAlignment="1" pivotButton="0" quotePrefix="0" xfId="1">
      <alignment horizontal="center" vertical="center"/>
    </xf>
    <xf numFmtId="10" fontId="2" fillId="0" borderId="20" applyAlignment="1" pivotButton="0" quotePrefix="0" xfId="1">
      <alignment horizontal="center" vertical="center"/>
    </xf>
    <xf numFmtId="0" fontId="2" fillId="0" borderId="18" applyAlignment="1" pivotButton="0" quotePrefix="0" xfId="1">
      <alignment horizontal="center" vertical="center"/>
    </xf>
    <xf numFmtId="164" fontId="2" fillId="0" borderId="2" applyAlignment="1" pivotButton="0" quotePrefix="0" xfId="1">
      <alignment horizontal="center" vertical="center"/>
    </xf>
    <xf numFmtId="0" fontId="2" fillId="0" borderId="2" applyAlignment="1" pivotButton="0" quotePrefix="0" xfId="1">
      <alignment vertical="center"/>
    </xf>
    <xf numFmtId="10" fontId="2" fillId="0" borderId="2" applyAlignment="1" pivotButton="0" quotePrefix="0" xfId="1">
      <alignment horizontal="center" vertical="center"/>
    </xf>
    <xf numFmtId="10" fontId="2" fillId="0" borderId="3" applyAlignment="1" pivotButton="0" quotePrefix="0" xfId="1">
      <alignment horizontal="center" vertical="center"/>
    </xf>
    <xf numFmtId="0" fontId="2" fillId="2" borderId="6" applyAlignment="1" pivotButton="0" quotePrefix="0" xfId="1">
      <alignment horizontal="center" vertical="center"/>
    </xf>
    <xf numFmtId="0" fontId="2" fillId="2" borderId="7" applyAlignment="1" pivotButton="0" quotePrefix="0" xfId="1">
      <alignment horizontal="center" vertical="center"/>
    </xf>
    <xf numFmtId="0" fontId="2" fillId="2" borderId="8" applyAlignment="1" pivotButton="0" quotePrefix="0" xfId="1">
      <alignment horizontal="center" vertical="center"/>
    </xf>
    <xf numFmtId="0" fontId="2" fillId="2" borderId="4" applyAlignment="1" pivotButton="0" quotePrefix="0" xfId="1">
      <alignment horizontal="center" vertical="center"/>
    </xf>
    <xf numFmtId="0" fontId="2" fillId="2" borderId="5" applyAlignment="1" pivotButton="0" quotePrefix="0" xfId="1">
      <alignment horizontal="center" vertical="center"/>
    </xf>
    <xf numFmtId="10" fontId="2" fillId="2" borderId="7" applyAlignment="1" pivotButton="0" quotePrefix="0" xfId="1">
      <alignment horizontal="center" vertical="center"/>
    </xf>
    <xf numFmtId="0" fontId="2" fillId="0" borderId="13" applyAlignment="1" pivotButton="0" quotePrefix="0" xfId="1">
      <alignment horizontal="center" vertical="center"/>
    </xf>
    <xf numFmtId="0" fontId="2" fillId="0" borderId="1" applyAlignment="1" pivotButton="0" quotePrefix="0" xfId="1">
      <alignment horizontal="center" vertical="center"/>
    </xf>
    <xf numFmtId="0" fontId="2" fillId="0" borderId="22" applyAlignment="1" pivotButton="0" quotePrefix="0" xfId="1">
      <alignment vertical="center"/>
    </xf>
    <xf numFmtId="0" fontId="2" fillId="0" borderId="12" applyAlignment="1" pivotButton="0" quotePrefix="0" xfId="1">
      <alignment vertical="center"/>
    </xf>
    <xf numFmtId="0" fontId="2" fillId="0" borderId="23" applyAlignment="1" pivotButton="0" quotePrefix="0" xfId="1">
      <alignment vertical="center"/>
    </xf>
    <xf numFmtId="0" fontId="2" fillId="0" borderId="24" applyAlignment="1" pivotButton="0" quotePrefix="0" xfId="1">
      <alignment vertical="center"/>
    </xf>
    <xf numFmtId="0" fontId="2" fillId="0" borderId="21" applyAlignment="1" pivotButton="0" quotePrefix="0" xfId="1">
      <alignment vertical="center" wrapText="1"/>
    </xf>
    <xf numFmtId="0" fontId="2" fillId="0" borderId="8" applyAlignment="1" pivotButton="0" quotePrefix="0" xfId="1">
      <alignment vertical="center"/>
    </xf>
    <xf numFmtId="0" fontId="2" fillId="0" borderId="21" applyAlignment="1" pivotButton="0" quotePrefix="0" xfId="1">
      <alignment vertical="center"/>
    </xf>
    <xf numFmtId="0" fontId="2" fillId="0" borderId="0" applyAlignment="1" pivotButton="0" quotePrefix="0" xfId="1">
      <alignment vertical="center" wrapText="1"/>
    </xf>
    <xf numFmtId="0" fontId="0" fillId="0" borderId="0" applyAlignment="1" pivotButton="0" quotePrefix="0" xfId="0">
      <alignment vertical="center"/>
    </xf>
    <xf numFmtId="0" fontId="0" fillId="0" borderId="21" applyAlignment="1" pivotButton="0" quotePrefix="0" xfId="0">
      <alignment vertical="center"/>
    </xf>
    <xf numFmtId="0" fontId="2" fillId="0" borderId="25" applyAlignment="1" pivotButton="0" quotePrefix="0" xfId="1">
      <alignment vertical="center"/>
    </xf>
    <xf numFmtId="164" fontId="0" fillId="0" borderId="0" applyAlignment="1" pivotButton="0" quotePrefix="0" xfId="0">
      <alignment vertical="center"/>
    </xf>
    <xf numFmtId="0" fontId="2" fillId="2" borderId="0" applyAlignment="1" pivotButton="0" quotePrefix="0" xfId="1">
      <alignment horizontal="center" vertical="center"/>
    </xf>
    <xf numFmtId="165" fontId="0" fillId="0" borderId="0" applyAlignment="1" pivotButton="0" quotePrefix="0" xfId="0">
      <alignment vertical="center"/>
    </xf>
    <xf numFmtId="0" fontId="0" fillId="0" borderId="25" applyAlignment="1" pivotButton="0" quotePrefix="0" xfId="0">
      <alignment vertical="center"/>
    </xf>
    <xf numFmtId="0" fontId="0" fillId="0" borderId="0" pivotButton="0" quotePrefix="0" xfId="0"/>
    <xf numFmtId="164" fontId="2" fillId="0" borderId="9" applyAlignment="1" pivotButton="0" quotePrefix="0" xfId="1">
      <alignment horizontal="center" vertical="center"/>
    </xf>
    <xf numFmtId="164" fontId="0" fillId="0" borderId="0" applyAlignment="1" pivotButton="0" quotePrefix="0" xfId="0">
      <alignment vertical="center"/>
    </xf>
    <xf numFmtId="165" fontId="0" fillId="0" borderId="0" applyAlignment="1" pivotButton="0" quotePrefix="0" xfId="0">
      <alignment vertical="center"/>
    </xf>
    <xf numFmtId="164" fontId="2" fillId="0" borderId="0" applyAlignment="1" pivotButton="0" quotePrefix="0" xfId="1">
      <alignment horizontal="center" vertical="center"/>
    </xf>
    <xf numFmtId="164" fontId="2" fillId="0" borderId="19" applyAlignment="1" pivotButton="0" quotePrefix="0" xfId="1">
      <alignment horizontal="center" vertical="center"/>
    </xf>
    <xf numFmtId="164" fontId="2" fillId="0" borderId="16" applyAlignment="1" pivotButton="0" quotePrefix="0" xfId="1">
      <alignment horizontal="center" vertical="center"/>
    </xf>
    <xf numFmtId="164" fontId="2" fillId="0" borderId="2" applyAlignment="1" pivotButton="0" quotePrefix="0" xfId="1">
      <alignment horizontal="center" vertical="center"/>
    </xf>
  </cellXfs>
  <cellStyles count="2">
    <cellStyle name="표준" xfId="0" builtinId="0"/>
    <cellStyle name="표준_Sheet1" xfId="1"/>
  </cellStyles>
  <dxfs count="6"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70C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S41"/>
  <sheetViews>
    <sheetView tabSelected="1" zoomScale="85" zoomScaleNormal="85" workbookViewId="0">
      <selection activeCell="F23" sqref="F23"/>
    </sheetView>
  </sheetViews>
  <sheetFormatPr baseColWidth="8" defaultRowHeight="16.5"/>
  <cols>
    <col width="15.125" bestFit="1" customWidth="1" style="47" min="1" max="1"/>
    <col width="12.875" bestFit="1" customWidth="1" style="47" min="2" max="2"/>
    <col width="73" bestFit="1" customWidth="1" style="47" min="3" max="3"/>
    <col width="13.125" bestFit="1" customWidth="1" style="47" min="4" max="5"/>
    <col width="5.5" bestFit="1" customWidth="1" style="47" min="6" max="6"/>
    <col width="11.875" bestFit="1" customWidth="1" style="47" min="7" max="7"/>
    <col width="9.125" bestFit="1" customWidth="1" style="47" min="8" max="8"/>
    <col width="13.125" bestFit="1" customWidth="1" style="47" min="9" max="10"/>
    <col width="9.25" bestFit="1" customWidth="1" style="47" min="11" max="13"/>
    <col hidden="1" width="12.875" customWidth="1" style="47" min="14" max="14"/>
    <col hidden="1" width="13.25" customWidth="1" style="47" min="15" max="15"/>
    <col hidden="1" width="14.125" customWidth="1" style="47" min="16" max="16"/>
    <col hidden="1" width="13.25" customWidth="1" style="47" min="17" max="17"/>
    <col width="14.125" bestFit="1" customWidth="1" style="47" min="18" max="18"/>
    <col width="12.875" bestFit="1" customWidth="1" style="47" min="19" max="19"/>
  </cols>
  <sheetData>
    <row r="1" ht="17.25" customHeight="1" s="47" thickBot="1">
      <c r="A1" s="27" t="inlineStr">
        <is>
          <t>업종</t>
        </is>
      </c>
      <c r="B1" s="28" t="inlineStr">
        <is>
          <t>세부 업종</t>
        </is>
      </c>
      <c r="C1" s="24" t="inlineStr">
        <is>
          <t>한국 종목</t>
        </is>
      </c>
      <c r="D1" s="25" t="inlineStr">
        <is>
          <t>현재가</t>
        </is>
      </c>
      <c r="E1" s="25" t="inlineStr">
        <is>
          <t>매수평단</t>
        </is>
      </c>
      <c r="F1" s="25" t="inlineStr">
        <is>
          <t>수량</t>
        </is>
      </c>
      <c r="G1" s="25" t="inlineStr">
        <is>
          <t>수익</t>
        </is>
      </c>
      <c r="H1" s="25" t="inlineStr">
        <is>
          <t>수익률</t>
        </is>
      </c>
      <c r="I1" s="25" t="inlineStr">
        <is>
          <t>매수금액</t>
        </is>
      </c>
      <c r="J1" s="25" t="inlineStr">
        <is>
          <t>평가금액</t>
        </is>
      </c>
      <c r="K1" s="29" t="inlineStr">
        <is>
          <t>업종비중</t>
        </is>
      </c>
      <c r="L1" s="25" t="inlineStr">
        <is>
          <t>한국비중</t>
        </is>
      </c>
      <c r="M1" s="26" t="inlineStr">
        <is>
          <t>전체비중</t>
        </is>
      </c>
      <c r="O1" s="44" t="inlineStr">
        <is>
          <t>업종초과부족</t>
        </is>
      </c>
      <c r="P1" s="44" t="inlineStr">
        <is>
          <t>업종할당량</t>
        </is>
      </c>
      <c r="Q1" s="44" t="inlineStr">
        <is>
          <t>개별할당량</t>
        </is>
      </c>
      <c r="R1" s="44" t="inlineStr">
        <is>
          <t>조절량</t>
        </is>
      </c>
      <c r="S1" s="44" t="inlineStr">
        <is>
          <t>매수매도타임</t>
        </is>
      </c>
    </row>
    <row r="2" ht="17.25" customHeight="1" s="47" thickBot="1">
      <c r="A2" s="38" t="inlineStr">
        <is>
          <t>운송</t>
        </is>
      </c>
      <c r="B2" s="37" t="inlineStr">
        <is>
          <t>항공</t>
        </is>
      </c>
      <c r="C2" s="1" t="e">
        <v>#VALUE!</v>
      </c>
      <c r="D2" s="48">
        <f t="array" ref="D2">IFERROR(_FV(C2,"Price"),0)</f>
        <v/>
      </c>
      <c r="E2" s="48" t="n">
        <v>31700</v>
      </c>
      <c r="F2" s="3" t="n">
        <v>15</v>
      </c>
      <c r="G2" s="48">
        <f>D2*F2-E2*F2</f>
        <v/>
      </c>
      <c r="H2" s="4">
        <f>IFERROR(D2/E2-1,0)</f>
        <v/>
      </c>
      <c r="I2" s="48">
        <f>E2*F2</f>
        <v/>
      </c>
      <c r="J2" s="48">
        <f>D2*F2</f>
        <v/>
      </c>
      <c r="K2" s="4">
        <f>J2/[0]!한국운송평가</f>
        <v/>
      </c>
      <c r="L2" s="4">
        <f>J2/[0]!한국자산</f>
        <v/>
      </c>
      <c r="M2" s="5">
        <f>J2/[0]!총자산</f>
        <v/>
      </c>
      <c r="N2" s="40">
        <f>COUNTIFS(A:A,A2,F:F,"&gt;0")</f>
        <v/>
      </c>
      <c r="O2" s="49">
        <f>VLOOKUP(A2,#REF!,6,0)</f>
        <v/>
      </c>
      <c r="P2" s="50">
        <f>VLOOKUP(A2,#REF!,4,0)-O2</f>
        <v/>
      </c>
      <c r="Q2" s="50">
        <f>P2/N2</f>
        <v/>
      </c>
      <c r="R2" s="50">
        <f>IF(F2&gt;0,J2-Q2,0)</f>
        <v/>
      </c>
      <c r="S2" s="40">
        <f>IF(H2&gt;0,IF(R2&gt;0,IF(D2&lt;R2,"매도",""),""),IF(R2&lt;0,IF(-D2&gt;R2,"매수",""),""))</f>
        <v/>
      </c>
    </row>
    <row r="3" ht="17.25" customHeight="1" s="47" thickBot="1">
      <c r="A3" s="38" t="inlineStr">
        <is>
          <t>테크</t>
        </is>
      </c>
      <c r="B3" s="35" t="inlineStr">
        <is>
          <t>소프트웨어</t>
        </is>
      </c>
      <c r="C3" s="30" t="e">
        <v>#VALUE!</v>
      </c>
      <c r="D3" s="51">
        <f t="array" ref="D3">IFERROR(_FV(C3,"Price"),0)</f>
        <v/>
      </c>
      <c r="E3" s="51" t="n">
        <v>151000</v>
      </c>
      <c r="F3" s="7" t="n">
        <v>1</v>
      </c>
      <c r="G3" s="51">
        <f>D3*F3-E3*F3</f>
        <v/>
      </c>
      <c r="H3" s="8">
        <f>IFERROR(D3/E3-1,0)</f>
        <v/>
      </c>
      <c r="I3" s="51">
        <f>E3*F3</f>
        <v/>
      </c>
      <c r="J3" s="51">
        <f>D3*F3</f>
        <v/>
      </c>
      <c r="K3" s="8">
        <f>J3/[0]!한국테크평가</f>
        <v/>
      </c>
      <c r="L3" s="8">
        <f>J3/[0]!한국자산</f>
        <v/>
      </c>
      <c r="M3" s="9">
        <f>J3/[0]!총자산</f>
        <v/>
      </c>
      <c r="N3" s="40">
        <f>COUNTIFS(A:A,A3,F:F,"&gt;0")</f>
        <v/>
      </c>
      <c r="O3" s="49">
        <f>VLOOKUP(A3,#REF!,6,0)</f>
        <v/>
      </c>
      <c r="P3" s="50">
        <f>VLOOKUP(A3,#REF!,4,0)-O3</f>
        <v/>
      </c>
      <c r="Q3" s="50">
        <f>P3/N3</f>
        <v/>
      </c>
      <c r="R3" s="50">
        <f>IF(F3&gt;0,J3-Q3,0)</f>
        <v/>
      </c>
      <c r="S3" s="40">
        <f>IF(H3&gt;0,IF(R3&gt;0,IF(D3&lt;R3,"매도",""),""),IF(R3&lt;0,IF(-D3&gt;R3,"매수",""),""))</f>
        <v/>
      </c>
    </row>
    <row r="4" ht="17.25" customHeight="1" s="47" thickBot="1">
      <c r="A4" s="41" t="inlineStr">
        <is>
          <t>ETF</t>
        </is>
      </c>
      <c r="B4" s="35" t="inlineStr">
        <is>
          <t>인덱스</t>
        </is>
      </c>
      <c r="C4" s="30" t="e">
        <v>#VALUE!</v>
      </c>
      <c r="D4" s="51">
        <f t="array" ref="D4">IFERROR(_FV(C4,"Price"),0)</f>
        <v/>
      </c>
      <c r="E4" s="51" t="n">
        <v>43210</v>
      </c>
      <c r="F4" s="7" t="n">
        <v>3</v>
      </c>
      <c r="G4" s="51">
        <f>D4*F4-E4*F4</f>
        <v/>
      </c>
      <c r="H4" s="8">
        <f>IFERROR(D4/E4-1,0)</f>
        <v/>
      </c>
      <c r="I4" s="51">
        <f>E4*F4</f>
        <v/>
      </c>
      <c r="J4" s="51">
        <f>D4*F4</f>
        <v/>
      </c>
      <c r="K4" s="8">
        <f>J4/[0]!한국ETF평가</f>
        <v/>
      </c>
      <c r="L4" s="8">
        <f>J4/[0]!한국자산</f>
        <v/>
      </c>
      <c r="M4" s="9">
        <f>J4/[0]!총자산</f>
        <v/>
      </c>
      <c r="N4" s="40">
        <f>COUNTIFS(A:A,A4,F:F,"&gt;0")</f>
        <v/>
      </c>
      <c r="O4" s="49">
        <f>VLOOKUP(A4,#REF!,6,0)</f>
        <v/>
      </c>
      <c r="P4" s="50">
        <f>VLOOKUP(A4,#REF!,4,0)-O4</f>
        <v/>
      </c>
      <c r="Q4" s="50">
        <f>P4/N4</f>
        <v/>
      </c>
      <c r="R4" s="50">
        <f>IF(F4&gt;0,J4-Q4,0)</f>
        <v/>
      </c>
      <c r="S4" s="40">
        <f>IF(H4&gt;0,IF(R4&gt;0,IF(D4&lt;R4,"매도",""),""),IF(R4&lt;0,IF(-D4&gt;R4,"매수",""),""))</f>
        <v/>
      </c>
    </row>
    <row r="5" ht="17.25" customHeight="1" s="47" thickBot="1">
      <c r="A5" s="41" t="inlineStr">
        <is>
          <t>바이오</t>
        </is>
      </c>
      <c r="B5" s="32" t="inlineStr">
        <is>
          <t>코로나(경구)</t>
        </is>
      </c>
      <c r="C5" s="19" t="e">
        <v>#VALUE!</v>
      </c>
      <c r="D5" s="52">
        <f t="array" ref="D5">IFERROR(_FV(C5,"Price"),0)</f>
        <v/>
      </c>
      <c r="E5" s="52" t="n">
        <v>36750</v>
      </c>
      <c r="F5" s="16" t="n">
        <v>4</v>
      </c>
      <c r="G5" s="52">
        <f>D5*F5-E5*F5</f>
        <v/>
      </c>
      <c r="H5" s="17">
        <f>IFERROR(D5/E5-1,0)</f>
        <v/>
      </c>
      <c r="I5" s="52">
        <f>E5*F5</f>
        <v/>
      </c>
      <c r="J5" s="52">
        <f>D5*F5</f>
        <v/>
      </c>
      <c r="K5" s="17">
        <f>J5/[0]!한국바이오평가</f>
        <v/>
      </c>
      <c r="L5" s="17">
        <f>J5/[0]!한국자산</f>
        <v/>
      </c>
      <c r="M5" s="18">
        <f>J5/[0]!총자산</f>
        <v/>
      </c>
      <c r="N5" s="40">
        <f>COUNTIFS(A:A,A5,F:F,"&gt;0")</f>
        <v/>
      </c>
      <c r="O5" s="49">
        <f>VLOOKUP(A5,#REF!,6,0)</f>
        <v/>
      </c>
      <c r="P5" s="50">
        <f>VLOOKUP(A5,#REF!,4,0)-O5</f>
        <v/>
      </c>
      <c r="Q5" s="50">
        <f>P5/N5</f>
        <v/>
      </c>
      <c r="R5" s="50">
        <f>IF(F5&gt;0,J5-Q5,0)</f>
        <v/>
      </c>
      <c r="S5" s="40">
        <f>IF(H5&gt;0,IF(R5&gt;0,IF(D5&lt;R5,"매도",""),""),IF(R5&lt;0,IF(-D5&gt;R5,"매수",""),""))</f>
        <v/>
      </c>
    </row>
    <row r="6">
      <c r="A6" s="36" t="inlineStr">
        <is>
          <t>테크</t>
        </is>
      </c>
      <c r="B6" s="35" t="inlineStr">
        <is>
          <t>반도체</t>
        </is>
      </c>
      <c r="C6" s="30" t="e">
        <v>#VALUE!</v>
      </c>
      <c r="D6" s="51">
        <f t="array" ref="D6">IFERROR(_FV(C6,"Price"),0)</f>
        <v/>
      </c>
      <c r="E6" s="51" t="n">
        <v>122500</v>
      </c>
      <c r="F6" s="7" t="n">
        <v>1</v>
      </c>
      <c r="G6" s="51">
        <f>D6*F6-E6*F6</f>
        <v/>
      </c>
      <c r="H6" s="8">
        <f>IFERROR(D6/E6-1,0)</f>
        <v/>
      </c>
      <c r="I6" s="51">
        <f>E6*F6</f>
        <v/>
      </c>
      <c r="J6" s="51">
        <f>D6*F6</f>
        <v/>
      </c>
      <c r="K6" s="8">
        <f>J6/[0]!한국테크평가</f>
        <v/>
      </c>
      <c r="L6" s="8">
        <f>J6/[0]!한국자산</f>
        <v/>
      </c>
      <c r="M6" s="9">
        <f>J6/[0]!총자산</f>
        <v/>
      </c>
      <c r="N6" s="40">
        <f>COUNTIFS(A:A,A6,F:F,"&gt;0")</f>
        <v/>
      </c>
      <c r="O6" s="49">
        <f>VLOOKUP(A6,#REF!,6,0)</f>
        <v/>
      </c>
      <c r="P6" s="50">
        <f>VLOOKUP(A6,#REF!,4,0)-O6</f>
        <v/>
      </c>
      <c r="Q6" s="50">
        <f>P6/N6</f>
        <v/>
      </c>
      <c r="R6" s="50">
        <f>IF(F6&gt;0,J6-Q6,0)</f>
        <v/>
      </c>
      <c r="S6" s="40">
        <f>IF(H6&gt;0,IF(R6&gt;0,IF(D6&lt;R6,"매도",""),""),IF(R6&lt;0,IF(-D6&gt;R6,"매수",""),""))</f>
        <v/>
      </c>
    </row>
    <row r="7" ht="17.25" customHeight="1" s="47" thickBot="1">
      <c r="A7" s="40" t="inlineStr">
        <is>
          <t>금융</t>
        </is>
      </c>
      <c r="B7" s="35" t="inlineStr">
        <is>
          <t>은행</t>
        </is>
      </c>
      <c r="C7" s="30" t="inlineStr">
        <is>
          <t>카카오뱅크</t>
        </is>
      </c>
      <c r="D7" s="51" t="n">
        <v>35000</v>
      </c>
      <c r="E7" s="51" t="n">
        <v>35000</v>
      </c>
      <c r="F7" s="7" t="n">
        <v>3</v>
      </c>
      <c r="G7" s="51">
        <f>D7*F7-E7*F7</f>
        <v/>
      </c>
      <c r="H7" s="8">
        <f>IFERROR(D7/E7-1,0)</f>
        <v/>
      </c>
      <c r="I7" s="51">
        <f>E7*F7</f>
        <v/>
      </c>
      <c r="J7" s="51">
        <f>D7*F7</f>
        <v/>
      </c>
      <c r="K7" s="8">
        <f>J7/[0]!한국금융평가</f>
        <v/>
      </c>
      <c r="L7" s="8">
        <f>J7/[0]!한국자산</f>
        <v/>
      </c>
      <c r="M7" s="9">
        <f>J7/[0]!총자산</f>
        <v/>
      </c>
      <c r="N7" s="40">
        <f>COUNTIFS(A:A,A7,F:F,"&gt;0")</f>
        <v/>
      </c>
      <c r="O7" s="49">
        <f>VLOOKUP(A7,#REF!,6,0)</f>
        <v/>
      </c>
      <c r="P7" s="50">
        <f>VLOOKUP(A7,#REF!,4,0)-O7</f>
        <v/>
      </c>
      <c r="Q7" s="50">
        <f>P7/N7</f>
        <v/>
      </c>
      <c r="R7" s="50">
        <f>IF(F7&gt;0,J7-Q7,0)</f>
        <v/>
      </c>
      <c r="S7" s="40">
        <f>IF(H7&gt;0,IF(R7&gt;0,IF(D7&lt;R7,"매도",""),""),IF(R7&lt;0,IF(-D7&gt;R7,"매수",""),""))</f>
        <v/>
      </c>
    </row>
    <row r="8" ht="17.25" customHeight="1" s="47" thickBot="1">
      <c r="A8" s="36" t="inlineStr">
        <is>
          <t>서비스</t>
        </is>
      </c>
      <c r="B8" s="37" t="inlineStr">
        <is>
          <t>컨텐츠</t>
        </is>
      </c>
      <c r="C8" s="1" t="e">
        <v>#VALUE!</v>
      </c>
      <c r="D8" s="48">
        <f t="array" ref="D8">IFERROR(_FV(C8,"Price"),0)</f>
        <v/>
      </c>
      <c r="E8" s="48" t="n">
        <v>96719</v>
      </c>
      <c r="F8" s="3" t="n">
        <v>1</v>
      </c>
      <c r="G8" s="48">
        <f>D8*F8-E8*F8</f>
        <v/>
      </c>
      <c r="H8" s="4">
        <f>IFERROR(D8/E8-1,0)</f>
        <v/>
      </c>
      <c r="I8" s="48">
        <f>E8*F8</f>
        <v/>
      </c>
      <c r="J8" s="48">
        <f>D8*F8</f>
        <v/>
      </c>
      <c r="K8" s="4">
        <f>J8/[0]!한국서비스평가</f>
        <v/>
      </c>
      <c r="L8" s="4">
        <f>J8/[0]!한국자산</f>
        <v/>
      </c>
      <c r="M8" s="5">
        <f>J8/[0]!총자산</f>
        <v/>
      </c>
      <c r="N8" s="40">
        <f>COUNTIFS(A:A,A8,F:F,"&gt;0")</f>
        <v/>
      </c>
      <c r="O8" s="49">
        <f>VLOOKUP(A8,#REF!,6,0)</f>
        <v/>
      </c>
      <c r="P8" s="50">
        <f>VLOOKUP(A8,#REF!,4,0)-O8</f>
        <v/>
      </c>
      <c r="Q8" s="50">
        <f>P8/N8</f>
        <v/>
      </c>
      <c r="R8" s="50">
        <f>IF(F8&gt;0,J8-Q8,0)</f>
        <v/>
      </c>
      <c r="S8" s="40">
        <f>IF(H8&gt;0,IF(R8&gt;0,IF(D8&lt;R8,"매도",""),""),IF(R8&lt;0,IF(-D8&gt;R8,"매수",""),""))</f>
        <v/>
      </c>
    </row>
    <row r="9" ht="17.25" customHeight="1" s="47" thickBot="1">
      <c r="A9" s="41" t="inlineStr">
        <is>
          <t>금융</t>
        </is>
      </c>
      <c r="B9" s="32" t="inlineStr">
        <is>
          <t>증권</t>
        </is>
      </c>
      <c r="C9" s="19" t="e">
        <v>#VALUE!</v>
      </c>
      <c r="D9" s="52">
        <f t="array" ref="D9">IFERROR(_FV(C9,"Price"),0)</f>
        <v/>
      </c>
      <c r="E9" s="52" t="n">
        <v>9530</v>
      </c>
      <c r="F9" s="16" t="n">
        <v>9</v>
      </c>
      <c r="G9" s="52">
        <f>D9*F9-E9*F9</f>
        <v/>
      </c>
      <c r="H9" s="17">
        <f>IFERROR(D9/E9-1,0)</f>
        <v/>
      </c>
      <c r="I9" s="52">
        <f>E9*F9</f>
        <v/>
      </c>
      <c r="J9" s="52">
        <f>D9*F9</f>
        <v/>
      </c>
      <c r="K9" s="17">
        <f>J9/[0]!한국금융평가</f>
        <v/>
      </c>
      <c r="L9" s="17">
        <f>J9/[0]!한국자산</f>
        <v/>
      </c>
      <c r="M9" s="18">
        <f>J9/[0]!총자산</f>
        <v/>
      </c>
      <c r="N9" s="40">
        <f>COUNTIFS(A:A,A9,F:F,"&gt;0")</f>
        <v/>
      </c>
      <c r="O9" s="49">
        <f>VLOOKUP(A9,#REF!,6,0)</f>
        <v/>
      </c>
      <c r="P9" s="50">
        <f>VLOOKUP(A9,#REF!,4,0)-O9</f>
        <v/>
      </c>
      <c r="Q9" s="50">
        <f>P9/N9</f>
        <v/>
      </c>
      <c r="R9" s="50">
        <f>IF(F9&gt;0,J9-Q9,0)</f>
        <v/>
      </c>
      <c r="S9" s="40">
        <f>IF(H9&gt;0,IF(R9&gt;0,IF(D9&lt;R9,"매도",""),""),IF(R9&lt;0,IF(-D9&gt;R9,"매수",""),""))</f>
        <v/>
      </c>
    </row>
    <row r="10" ht="17.25" customHeight="1" s="47" thickBot="1">
      <c r="A10" s="36" t="inlineStr">
        <is>
          <t>자본재중공업</t>
        </is>
      </c>
      <c r="B10" s="32" t="inlineStr">
        <is>
          <t>장비</t>
        </is>
      </c>
      <c r="C10" s="19" t="e">
        <v>#VALUE!</v>
      </c>
      <c r="D10" s="52">
        <f t="array" ref="D10">IFERROR(_FV(C10,"Price"),0)</f>
        <v/>
      </c>
      <c r="E10" s="52" t="n">
        <v>25100</v>
      </c>
      <c r="F10" s="16" t="n">
        <v>3</v>
      </c>
      <c r="G10" s="52">
        <f>D10*F10-E10*F10</f>
        <v/>
      </c>
      <c r="H10" s="17">
        <f>IFERROR(D10/E10-1,0)</f>
        <v/>
      </c>
      <c r="I10" s="52">
        <f>E10*F10</f>
        <v/>
      </c>
      <c r="J10" s="52">
        <f>D10*F10</f>
        <v/>
      </c>
      <c r="K10" s="17">
        <f>J10/[0]!한국자본재평가</f>
        <v/>
      </c>
      <c r="L10" s="17">
        <f>J10/[0]!한국자산</f>
        <v/>
      </c>
      <c r="M10" s="18">
        <f>J10/[0]!총자산</f>
        <v/>
      </c>
      <c r="N10" s="40">
        <f>COUNTIFS(A:A,A10,F:F,"&gt;0")</f>
        <v/>
      </c>
      <c r="O10" s="49">
        <f>VLOOKUP(A10,#REF!,6,0)</f>
        <v/>
      </c>
      <c r="P10" s="50">
        <f>VLOOKUP(A10,#REF!,4,0)-O10</f>
        <v/>
      </c>
      <c r="Q10" s="50">
        <f>P10/N10</f>
        <v/>
      </c>
      <c r="R10" s="50">
        <f>IF(F10&gt;0,J10-Q10,0)</f>
        <v/>
      </c>
      <c r="S10" s="40">
        <f>IF(H10&gt;0,IF(R10&gt;0,IF(D10&lt;R10,"매도",""),""),IF(R10&lt;0,IF(-D10&gt;R10,"매수",""),""))</f>
        <v/>
      </c>
    </row>
    <row r="11">
      <c r="A11" s="36" t="inlineStr">
        <is>
          <t>자본재중공업</t>
        </is>
      </c>
      <c r="B11" s="37" t="inlineStr">
        <is>
          <t>2차전지</t>
        </is>
      </c>
      <c r="C11" s="1" t="e">
        <v>#VALUE!</v>
      </c>
      <c r="D11" s="48">
        <f t="array" ref="D11">IFERROR(_FV(C11,"Price"),0)</f>
        <v/>
      </c>
      <c r="E11" s="48" t="n">
        <v>20445</v>
      </c>
      <c r="F11" s="3" t="n">
        <v>3</v>
      </c>
      <c r="G11" s="48">
        <f>D11*F11-E11*F11</f>
        <v/>
      </c>
      <c r="H11" s="4">
        <f>IFERROR(D11/E11-1,0)</f>
        <v/>
      </c>
      <c r="I11" s="48">
        <f>E11*F11</f>
        <v/>
      </c>
      <c r="J11" s="48">
        <f>D11*F11</f>
        <v/>
      </c>
      <c r="K11" s="4">
        <f>J11/[0]!한국자본재평가</f>
        <v/>
      </c>
      <c r="L11" s="4">
        <f>J11/[0]!한국자산</f>
        <v/>
      </c>
      <c r="M11" s="5">
        <f>J11/[0]!총자산</f>
        <v/>
      </c>
      <c r="N11" s="40">
        <f>COUNTIFS(A:A,A11,F:F,"&gt;0")</f>
        <v/>
      </c>
      <c r="O11" s="49">
        <f>VLOOKUP(A11,#REF!,6,0)</f>
        <v/>
      </c>
      <c r="P11" s="50">
        <f>VLOOKUP(A11,#REF!,4,0)-O11</f>
        <v/>
      </c>
      <c r="Q11" s="50">
        <f>P11/N11</f>
        <v/>
      </c>
      <c r="R11" s="50">
        <f>IF(F11&gt;0,J11-Q11,0)</f>
        <v/>
      </c>
      <c r="S11" s="40">
        <f>IF(H11&gt;0,IF(R11&gt;0,IF(D11&lt;R11,"매도",""),""),IF(R11&lt;0,IF(-D11&gt;R11,"매수",""),""))</f>
        <v/>
      </c>
    </row>
    <row r="12">
      <c r="A12" s="40" t="inlineStr">
        <is>
          <t>ETF</t>
        </is>
      </c>
      <c r="B12" s="32" t="inlineStr">
        <is>
          <t>성장주</t>
        </is>
      </c>
      <c r="C12" s="19" t="e">
        <v>#VALUE!</v>
      </c>
      <c r="D12" s="52">
        <f t="array" ref="D12">IFERROR(_FV(C12,"Price"),0)</f>
        <v/>
      </c>
      <c r="E12" s="52" t="n">
        <v>15200</v>
      </c>
      <c r="F12" s="16" t="n">
        <v>4</v>
      </c>
      <c r="G12" s="52">
        <f>D12*F12-E12*F12</f>
        <v/>
      </c>
      <c r="H12" s="17">
        <f>IFERROR(D12/E12-1,0)</f>
        <v/>
      </c>
      <c r="I12" s="52">
        <f>E12*F12</f>
        <v/>
      </c>
      <c r="J12" s="52">
        <f>D12*F12</f>
        <v/>
      </c>
      <c r="K12" s="17">
        <f>J12/[0]!한국ETF평가</f>
        <v/>
      </c>
      <c r="L12" s="17">
        <f>J12/[0]!한국자산</f>
        <v/>
      </c>
      <c r="M12" s="18">
        <f>J12/[0]!총자산</f>
        <v/>
      </c>
      <c r="N12" s="40">
        <f>COUNTIFS(A:A,A12,F:F,"&gt;0")</f>
        <v/>
      </c>
      <c r="O12" s="49">
        <f>VLOOKUP(A12,#REF!,6,0)</f>
        <v/>
      </c>
      <c r="P12" s="50">
        <f>VLOOKUP(A12,#REF!,4,0)-O12</f>
        <v/>
      </c>
      <c r="Q12" s="50">
        <f>P12/N12</f>
        <v/>
      </c>
      <c r="R12" s="50">
        <f>IF(F12&gt;0,J12-Q12,0)</f>
        <v/>
      </c>
      <c r="S12" s="40">
        <f>IF(H12&gt;0,IF(R12&gt;0,IF(D12&lt;R12,"매도",""),""),IF(R12&lt;0,IF(-D12&gt;R12,"매수",""),""))</f>
        <v/>
      </c>
    </row>
    <row r="13">
      <c r="A13" s="39" t="inlineStr">
        <is>
          <t>ETF</t>
        </is>
      </c>
      <c r="B13" s="33" t="inlineStr">
        <is>
          <t>가치주</t>
        </is>
      </c>
      <c r="C13" s="10" t="e">
        <v>#VALUE!</v>
      </c>
      <c r="D13" s="53">
        <f t="array" ref="D13">IFERROR(_FV(C13,"Price"),0)</f>
        <v/>
      </c>
      <c r="E13" s="53" t="n">
        <v>12762</v>
      </c>
      <c r="F13" s="11" t="n">
        <v>4</v>
      </c>
      <c r="G13" s="53">
        <f>D13*F13-E13*F13</f>
        <v/>
      </c>
      <c r="H13" s="13">
        <f>IFERROR(D13/E13-1,0)</f>
        <v/>
      </c>
      <c r="I13" s="53">
        <f>E13*F13</f>
        <v/>
      </c>
      <c r="J13" s="53">
        <f>D13*F13</f>
        <v/>
      </c>
      <c r="K13" s="13">
        <f>J13/[0]!한국ETF평가</f>
        <v/>
      </c>
      <c r="L13" s="13">
        <f>J13/[0]!한국자산</f>
        <v/>
      </c>
      <c r="M13" s="14">
        <f>J13/[0]!총자산</f>
        <v/>
      </c>
      <c r="N13" s="40">
        <f>COUNTIFS(A:A,A13,F:F,"&gt;0")</f>
        <v/>
      </c>
      <c r="O13" s="49">
        <f>VLOOKUP(A13,#REF!,6,0)</f>
        <v/>
      </c>
      <c r="P13" s="50">
        <f>VLOOKUP(A13,#REF!,4,0)-O13</f>
        <v/>
      </c>
      <c r="Q13" s="50">
        <f>P13/N13</f>
        <v/>
      </c>
      <c r="R13" s="50">
        <f>IF(F13&gt;0,J13-Q13,0)</f>
        <v/>
      </c>
      <c r="S13" s="40">
        <f>IF(H13&gt;0,IF(R13&gt;0,IF(D13&lt;R13,"매도",""),""),IF(R13&lt;0,IF(-D13&gt;R13,"매수",""),""))</f>
        <v/>
      </c>
    </row>
    <row r="14" ht="17.25" customHeight="1" s="47" thickBot="1">
      <c r="A14" s="40" t="inlineStr">
        <is>
          <t>ETF</t>
        </is>
      </c>
      <c r="B14" s="32" t="inlineStr">
        <is>
          <t>성장주</t>
        </is>
      </c>
      <c r="C14" s="30" t="e">
        <v>#VALUE!</v>
      </c>
      <c r="D14" s="51">
        <f t="array" ref="D14">IFERROR(_FV(C14,"Price"),0)</f>
        <v/>
      </c>
      <c r="E14" s="51" t="n">
        <v>14747</v>
      </c>
      <c r="F14" s="7" t="n">
        <v>3</v>
      </c>
      <c r="G14" s="51">
        <f>D14*F14-E14*F14</f>
        <v/>
      </c>
      <c r="H14" s="8">
        <f>IFERROR(D14/E14-1,0)</f>
        <v/>
      </c>
      <c r="I14" s="51">
        <f>E14*F14</f>
        <v/>
      </c>
      <c r="J14" s="51">
        <f>D14*F14</f>
        <v/>
      </c>
      <c r="K14" s="8">
        <f>J14/[0]!한국ETF평가</f>
        <v/>
      </c>
      <c r="L14" s="8">
        <f>J14/[0]!한국자산</f>
        <v/>
      </c>
      <c r="M14" s="9">
        <f>J14/[0]!총자산</f>
        <v/>
      </c>
      <c r="N14" s="40">
        <f>COUNTIFS(A:A,A14,F:F,"&gt;0")</f>
        <v/>
      </c>
      <c r="O14" s="49">
        <f>VLOOKUP(A14,#REF!,6,0)</f>
        <v/>
      </c>
      <c r="P14" s="50">
        <f>VLOOKUP(A14,#REF!,4,0)-O14</f>
        <v/>
      </c>
      <c r="Q14" s="50">
        <f>P14/N14</f>
        <v/>
      </c>
      <c r="R14" s="50">
        <f>IF(F14&gt;0,J14-Q14,0)</f>
        <v/>
      </c>
      <c r="S14" s="40">
        <f>IF(H14&gt;0,IF(R14&gt;0,IF(D14&lt;R14,"매도",""),""),IF(R14&lt;0,IF(-D14&gt;R14,"매수",""),""))</f>
        <v/>
      </c>
    </row>
    <row r="15">
      <c r="A15" s="38" t="inlineStr">
        <is>
          <t>테크</t>
        </is>
      </c>
      <c r="B15" s="37" t="inlineStr">
        <is>
          <t>소프트웨어</t>
        </is>
      </c>
      <c r="C15" s="1" t="e">
        <v>#VALUE!</v>
      </c>
      <c r="D15" s="48">
        <f t="array" ref="D15">IFERROR(_FV(C15,"Price"),0)</f>
        <v/>
      </c>
      <c r="E15" s="48" t="n">
        <v>19512</v>
      </c>
      <c r="F15" s="3" t="n">
        <v>2</v>
      </c>
      <c r="G15" s="48">
        <f>D15*F15-E15*F15</f>
        <v/>
      </c>
      <c r="H15" s="4">
        <f>IFERROR(D15/E15-1,0)</f>
        <v/>
      </c>
      <c r="I15" s="48">
        <f>E15*F15</f>
        <v/>
      </c>
      <c r="J15" s="48">
        <f>D15*F15</f>
        <v/>
      </c>
      <c r="K15" s="4">
        <f>J15/[0]!한국테크평가</f>
        <v/>
      </c>
      <c r="L15" s="4">
        <f>J15/[0]!한국자산</f>
        <v/>
      </c>
      <c r="M15" s="5">
        <f>J15/[0]!총자산</f>
        <v/>
      </c>
      <c r="N15" s="40">
        <f>COUNTIFS(A:A,A15,F:F,"&gt;0")</f>
        <v/>
      </c>
      <c r="O15" s="49">
        <f>VLOOKUP(A15,#REF!,6,0)</f>
        <v/>
      </c>
      <c r="P15" s="50">
        <f>VLOOKUP(A15,#REF!,4,0)-O15</f>
        <v/>
      </c>
      <c r="Q15" s="50">
        <f>P15/N15</f>
        <v/>
      </c>
      <c r="R15" s="50">
        <f>IF(F15&gt;0,J15-Q15,0)</f>
        <v/>
      </c>
      <c r="S15" s="40">
        <f>IF(H15&gt;0,IF(R15&gt;0,IF(D15&lt;R15,"매도",""),""),IF(R15&lt;0,IF(-D15&gt;R15,"매수",""),""))</f>
        <v/>
      </c>
    </row>
    <row r="16">
      <c r="A16" s="40" t="inlineStr">
        <is>
          <t>ETF</t>
        </is>
      </c>
      <c r="B16" s="32" t="inlineStr">
        <is>
          <t>금</t>
        </is>
      </c>
      <c r="C16" s="30" t="inlineStr">
        <is>
          <t>금은 선물</t>
        </is>
      </c>
      <c r="D16" s="51" t="n">
        <v>9650</v>
      </c>
      <c r="E16" s="51" t="n">
        <v>9825</v>
      </c>
      <c r="F16" s="7" t="n">
        <v>4</v>
      </c>
      <c r="G16" s="51">
        <f>D16*F16-E16*F16</f>
        <v/>
      </c>
      <c r="H16" s="8">
        <f>IFERROR(D16/E16-1,0)</f>
        <v/>
      </c>
      <c r="I16" s="51">
        <f>E16*F16</f>
        <v/>
      </c>
      <c r="J16" s="51">
        <f>D16*F16</f>
        <v/>
      </c>
      <c r="K16" s="8">
        <f>J16/[0]!한국ETF평가</f>
        <v/>
      </c>
      <c r="L16" s="8">
        <f>J16/[0]!한국자산</f>
        <v/>
      </c>
      <c r="M16" s="9">
        <f>J16/[0]!총자산</f>
        <v/>
      </c>
      <c r="N16" s="40">
        <f>COUNTIFS(A:A,A16,F:F,"&gt;0")</f>
        <v/>
      </c>
      <c r="O16" s="49">
        <f>VLOOKUP(A16,#REF!,6,0)</f>
        <v/>
      </c>
      <c r="P16" s="50">
        <f>VLOOKUP(A16,#REF!,4,0)-O16</f>
        <v/>
      </c>
      <c r="Q16" s="50">
        <f>P16/N16</f>
        <v/>
      </c>
      <c r="R16" s="50">
        <f>IF(F16&gt;0,J16-Q16,0)</f>
        <v/>
      </c>
      <c r="S16" s="40">
        <f>IF(H16&gt;0,IF(R16&gt;0,IF(D16&lt;R16,"매도",""),""),IF(R16&lt;0,IF(-D16&gt;R16,"매수",""),""))</f>
        <v/>
      </c>
    </row>
    <row r="17">
      <c r="A17" s="39" t="inlineStr">
        <is>
          <t>자본재중공업</t>
        </is>
      </c>
      <c r="B17" s="35" t="inlineStr">
        <is>
          <t>장비</t>
        </is>
      </c>
      <c r="C17" s="30" t="e">
        <v>#VALUE!</v>
      </c>
      <c r="D17" s="51">
        <f t="array" ref="D17">IFERROR(_FV(C17,"Price"),0)</f>
        <v/>
      </c>
      <c r="E17" s="51" t="n">
        <v>12665</v>
      </c>
      <c r="F17" s="7" t="n">
        <v>3</v>
      </c>
      <c r="G17" s="51">
        <f>D17*F17-E17*F17</f>
        <v/>
      </c>
      <c r="H17" s="8">
        <f>IFERROR(D17/E17-1,0)</f>
        <v/>
      </c>
      <c r="I17" s="51">
        <f>E17*F17</f>
        <v/>
      </c>
      <c r="J17" s="51">
        <f>D17*F17</f>
        <v/>
      </c>
      <c r="K17" s="8">
        <f>J17/[0]!한국자본재평가</f>
        <v/>
      </c>
      <c r="L17" s="8">
        <f>J17/[0]!한국자산</f>
        <v/>
      </c>
      <c r="M17" s="9">
        <f>J17/[0]!총자산</f>
        <v/>
      </c>
      <c r="N17" s="40">
        <f>COUNTIFS(A:A,A17,F:F,"&gt;0")</f>
        <v/>
      </c>
      <c r="O17" s="49">
        <f>VLOOKUP(A17,#REF!,6,0)</f>
        <v/>
      </c>
      <c r="P17" s="50">
        <f>VLOOKUP(A17,#REF!,4,0)-O17</f>
        <v/>
      </c>
      <c r="Q17" s="50">
        <f>P17/N17</f>
        <v/>
      </c>
      <c r="R17" s="50">
        <f>IF(F17&gt;0,J17-Q17,0)</f>
        <v/>
      </c>
      <c r="S17" s="40">
        <f>IF(H17&gt;0,IF(R17&gt;0,IF(D17&lt;R17,"매도",""),""),IF(R17&lt;0,IF(-D17&gt;R17,"매수",""),""))</f>
        <v/>
      </c>
    </row>
    <row r="18">
      <c r="A18" s="39" t="inlineStr">
        <is>
          <t>경기민감소비재</t>
        </is>
      </c>
      <c r="B18" s="32" t="inlineStr">
        <is>
          <t>소비재</t>
        </is>
      </c>
      <c r="C18" s="30" t="e">
        <v>#VALUE!</v>
      </c>
      <c r="D18" s="51">
        <f t="array" ref="D18">IFERROR(_FV(C18,"Price"),0)</f>
        <v/>
      </c>
      <c r="E18" s="51" t="n">
        <v>13680</v>
      </c>
      <c r="F18" s="7" t="n">
        <v>2</v>
      </c>
      <c r="G18" s="51">
        <f>D18*F18-E18*F18</f>
        <v/>
      </c>
      <c r="H18" s="8">
        <f>IFERROR(D18/E18-1,0)</f>
        <v/>
      </c>
      <c r="I18" s="51">
        <f>E18*F18</f>
        <v/>
      </c>
      <c r="J18" s="51">
        <f>D18*F18</f>
        <v/>
      </c>
      <c r="K18" s="8">
        <f>J18/[0]!한국소비재평가</f>
        <v/>
      </c>
      <c r="L18" s="8">
        <f>J18/[0]!한국자산</f>
        <v/>
      </c>
      <c r="M18" s="9">
        <f>J18/[0]!총자산</f>
        <v/>
      </c>
      <c r="N18" s="40">
        <f>COUNTIFS(A:A,A18,F:F,"&gt;0")</f>
        <v/>
      </c>
      <c r="O18" s="49">
        <f>VLOOKUP(A18,#REF!,6,0)</f>
        <v/>
      </c>
      <c r="P18" s="50">
        <f>VLOOKUP(A18,#REF!,4,0)-O18</f>
        <v/>
      </c>
      <c r="Q18" s="50">
        <f>P18/N18</f>
        <v/>
      </c>
      <c r="R18" s="50">
        <f>IF(F18&gt;0,J18-Q18,0)</f>
        <v/>
      </c>
      <c r="S18" s="40">
        <f>IF(H18&gt;0,IF(R18&gt;0,IF(D18&lt;R18,"매도",""),""),IF(R18&lt;0,IF(-D18&gt;R18,"매수",""),""))</f>
        <v/>
      </c>
    </row>
    <row r="19">
      <c r="A19" s="39" t="inlineStr">
        <is>
          <t>경기민감소비재</t>
        </is>
      </c>
      <c r="B19" s="35" t="inlineStr">
        <is>
          <t>자동차</t>
        </is>
      </c>
      <c r="C19" s="30" t="e">
        <v>#VALUE!</v>
      </c>
      <c r="D19" s="51">
        <f t="array" ref="D19">IFERROR(_FV(C19,"Price"),0)</f>
        <v/>
      </c>
      <c r="E19" s="51" t="n">
        <v>19275</v>
      </c>
      <c r="F19" s="7" t="n">
        <v>1</v>
      </c>
      <c r="G19" s="51">
        <f>D19*F19-E19*F19</f>
        <v/>
      </c>
      <c r="H19" s="8">
        <f>IFERROR(D19/E19-1,0)</f>
        <v/>
      </c>
      <c r="I19" s="51">
        <f>E19*F19</f>
        <v/>
      </c>
      <c r="J19" s="51">
        <f>D19*F19</f>
        <v/>
      </c>
      <c r="K19" s="8">
        <f>J19/[0]!한국소비재평가</f>
        <v/>
      </c>
      <c r="L19" s="8">
        <f>J19/[0]!한국자산</f>
        <v/>
      </c>
      <c r="M19" s="9">
        <f>J19/[0]!총자산</f>
        <v/>
      </c>
      <c r="N19" s="40">
        <f>COUNTIFS(A:A,A19,F:F,"&gt;0")</f>
        <v/>
      </c>
      <c r="O19" s="49">
        <f>VLOOKUP(A19,#REF!,6,0)</f>
        <v/>
      </c>
      <c r="P19" s="50">
        <f>VLOOKUP(A19,#REF!,4,0)-O19</f>
        <v/>
      </c>
      <c r="Q19" s="50">
        <f>P19/N19</f>
        <v/>
      </c>
      <c r="R19" s="50">
        <f>IF(F19&gt;0,J19-Q19,0)</f>
        <v/>
      </c>
      <c r="S19" s="40">
        <f>IF(H19&gt;0,IF(R19&gt;0,IF(D19&lt;R19,"매도",""),""),IF(R19&lt;0,IF(-D19&gt;R19,"매수",""),""))</f>
        <v/>
      </c>
    </row>
    <row r="20" ht="17.25" customHeight="1" s="47" thickBot="1">
      <c r="A20" s="7" t="inlineStr">
        <is>
          <t>테크</t>
        </is>
      </c>
      <c r="B20" s="34" t="inlineStr">
        <is>
          <t>소프트웨어</t>
        </is>
      </c>
      <c r="C20" s="31" t="e">
        <v>#VALUE!</v>
      </c>
      <c r="D20" s="54">
        <f t="array" ref="D20">IFERROR(_FV(C20,"Price"),0)</f>
        <v/>
      </c>
      <c r="E20" s="54" t="n"/>
      <c r="F20" s="21" t="n"/>
      <c r="G20" s="54">
        <f>D20*F20-E20*F20</f>
        <v/>
      </c>
      <c r="H20" s="22">
        <f>IFERROR(D20/E20-1,0)</f>
        <v/>
      </c>
      <c r="I20" s="54">
        <f>E20*F20</f>
        <v/>
      </c>
      <c r="J20" s="54">
        <f>D20*F20</f>
        <v/>
      </c>
      <c r="K20" s="22">
        <f>J20/[0]!한국테크평가</f>
        <v/>
      </c>
      <c r="L20" s="22">
        <f>J20/[0]!한국자산</f>
        <v/>
      </c>
      <c r="M20" s="23">
        <f>J20/[0]!총자산</f>
        <v/>
      </c>
      <c r="N20" s="40">
        <f>COUNTIFS(A:A,A20,F:F,"&gt;0")</f>
        <v/>
      </c>
      <c r="O20" s="49">
        <f>VLOOKUP(A20,#REF!,6,0)</f>
        <v/>
      </c>
      <c r="P20" s="50">
        <f>VLOOKUP(A20,#REF!,4,0)-O20</f>
        <v/>
      </c>
      <c r="Q20" s="50">
        <f>P20/N20</f>
        <v/>
      </c>
      <c r="R20" s="50">
        <f>IF(F20&gt;0,J20-Q20,0)</f>
        <v/>
      </c>
      <c r="S20" s="40">
        <f>IF(H20&gt;0,IF(R20&gt;0,IF(D20&lt;R20,"매도",""),""),IF(R20&lt;0,IF(-D20&gt;R20,"매수",""),""))</f>
        <v/>
      </c>
    </row>
    <row r="21">
      <c r="A21" s="36" t="inlineStr">
        <is>
          <t>테크</t>
        </is>
      </c>
      <c r="B21" s="37" t="inlineStr">
        <is>
          <t>반도체</t>
        </is>
      </c>
      <c r="C21" s="1" t="e">
        <v>#VALUE!</v>
      </c>
      <c r="D21" s="48">
        <f t="array" ref="D21">IFERROR(_FV(C21,"Price"),0)</f>
        <v/>
      </c>
      <c r="E21" s="48" t="n"/>
      <c r="F21" s="3" t="n"/>
      <c r="G21" s="48">
        <f>D21*F21-E21*F21</f>
        <v/>
      </c>
      <c r="H21" s="4">
        <f>IFERROR(D21/E21-1,0)</f>
        <v/>
      </c>
      <c r="I21" s="48">
        <f>E21*F21</f>
        <v/>
      </c>
      <c r="J21" s="48">
        <f>D21*F21</f>
        <v/>
      </c>
      <c r="K21" s="4">
        <f>J21/[0]!한국테크평가</f>
        <v/>
      </c>
      <c r="L21" s="4">
        <f>J21/[0]!한국자산</f>
        <v/>
      </c>
      <c r="M21" s="5">
        <f>J21/[0]!총자산</f>
        <v/>
      </c>
      <c r="N21" s="40">
        <f>COUNTIFS(A:A,A21,F:F,"&gt;0")</f>
        <v/>
      </c>
      <c r="O21" s="49">
        <f>VLOOKUP(A21,#REF!,6,0)</f>
        <v/>
      </c>
      <c r="P21" s="50">
        <f>VLOOKUP(A21,#REF!,4,0)-O21</f>
        <v/>
      </c>
      <c r="Q21" s="50">
        <f>P21/N21</f>
        <v/>
      </c>
      <c r="R21" s="50">
        <f>IF(F21&gt;0,J21-Q21,0)</f>
        <v/>
      </c>
      <c r="S21" s="40">
        <f>IF(H21&gt;0,IF(R21&gt;0,IF(D21&lt;R21,"매도",""),""),IF(R21&lt;0,IF(-D21&gt;R21,"매수",""),""))</f>
        <v/>
      </c>
    </row>
    <row r="22">
      <c r="A22" s="40" t="inlineStr">
        <is>
          <t>테크</t>
        </is>
      </c>
      <c r="B22" s="35" t="inlineStr">
        <is>
          <t>반도체</t>
        </is>
      </c>
      <c r="C22" s="30" t="e">
        <v>#VALUE!</v>
      </c>
      <c r="D22" s="51">
        <f t="array" ref="D22">IFERROR(_FV(C22,"Price"),0)</f>
        <v/>
      </c>
      <c r="E22" s="51" t="n"/>
      <c r="F22" s="7" t="n"/>
      <c r="G22" s="51">
        <f>D22*F22-E22*F22</f>
        <v/>
      </c>
      <c r="H22" s="8">
        <f>IFERROR(D22/E22-1,0)</f>
        <v/>
      </c>
      <c r="I22" s="51">
        <f>E22*F22</f>
        <v/>
      </c>
      <c r="J22" s="51">
        <f>D22*F22</f>
        <v/>
      </c>
      <c r="K22" s="8">
        <f>J22/[0]!한국테크평가</f>
        <v/>
      </c>
      <c r="L22" s="8">
        <f>J22/[0]!한국자산</f>
        <v/>
      </c>
      <c r="M22" s="9">
        <f>J22/[0]!총자산</f>
        <v/>
      </c>
      <c r="N22" s="40">
        <f>COUNTIFS(A:A,A22,F:F,"&gt;0")</f>
        <v/>
      </c>
      <c r="O22" s="49">
        <f>VLOOKUP(A22,#REF!,6,0)</f>
        <v/>
      </c>
      <c r="P22" s="50">
        <f>VLOOKUP(A22,#REF!,4,0)-O22</f>
        <v/>
      </c>
      <c r="Q22" s="50">
        <f>P22/N22</f>
        <v/>
      </c>
      <c r="R22" s="50">
        <f>IF(F22&gt;0,J22-Q22,0)</f>
        <v/>
      </c>
      <c r="S22" s="40">
        <f>IF(H22&gt;0,IF(R22&gt;0,IF(D22&lt;R22,"매도",""),""),IF(R22&lt;0,IF(-D22&gt;R22,"매수",""),""))</f>
        <v/>
      </c>
    </row>
    <row r="23" ht="17.25" customHeight="1" s="47" thickBot="1">
      <c r="A23" s="40" t="inlineStr">
        <is>
          <t>운송</t>
        </is>
      </c>
      <c r="B23" s="32" t="inlineStr">
        <is>
          <t>해운</t>
        </is>
      </c>
      <c r="C23" s="19" t="e">
        <v>#VALUE!</v>
      </c>
      <c r="D23" s="52">
        <f t="array" ref="D23">IFERROR(_FV(C23,"Price"),0)</f>
        <v/>
      </c>
      <c r="E23" s="52" t="n"/>
      <c r="F23" s="16" t="n"/>
      <c r="G23" s="52">
        <f>D23*F23-E23*F23</f>
        <v/>
      </c>
      <c r="H23" s="17">
        <f>IFERROR(D23/E23-1,0)</f>
        <v/>
      </c>
      <c r="I23" s="52">
        <f>E23*F23</f>
        <v/>
      </c>
      <c r="J23" s="52">
        <f>D23*F23</f>
        <v/>
      </c>
      <c r="K23" s="17">
        <f>J23/[0]!한국운송평가</f>
        <v/>
      </c>
      <c r="L23" s="17">
        <f>J23/[0]!한국자산</f>
        <v/>
      </c>
      <c r="M23" s="18">
        <f>J23/[0]!총자산</f>
        <v/>
      </c>
      <c r="N23" s="40">
        <f>COUNTIFS(A:A,A23,F:F,"&gt;0")</f>
        <v/>
      </c>
      <c r="O23" s="49">
        <f>VLOOKUP(A23,#REF!,6,0)</f>
        <v/>
      </c>
      <c r="P23" s="50">
        <f>VLOOKUP(A23,#REF!,4,0)-O23</f>
        <v/>
      </c>
      <c r="Q23" s="50">
        <f>P23/N23</f>
        <v/>
      </c>
      <c r="R23" s="50">
        <f>IF(F23&gt;0,J23-Q23,0)</f>
        <v/>
      </c>
      <c r="S23" s="40">
        <f>IF(H23&gt;0,IF(R23&gt;0,IF(D23&lt;R23,"매도",""),""),IF(R23&lt;0,IF(-D23&gt;R23,"매수",""),""))</f>
        <v/>
      </c>
    </row>
    <row r="24">
      <c r="A24" s="41" t="inlineStr">
        <is>
          <t>운송</t>
        </is>
      </c>
      <c r="B24" s="37" t="inlineStr">
        <is>
          <t>택배</t>
        </is>
      </c>
      <c r="C24" s="1" t="e">
        <v>#VALUE!</v>
      </c>
      <c r="D24" s="48">
        <f t="array" ref="D24">IFERROR(_FV(C24,"Price"),0)</f>
        <v/>
      </c>
      <c r="E24" s="48" t="n"/>
      <c r="F24" s="3" t="n"/>
      <c r="G24" s="48">
        <f>D24*F24-E24*F24</f>
        <v/>
      </c>
      <c r="H24" s="4">
        <f>IFERROR(D24/E24-1,0)</f>
        <v/>
      </c>
      <c r="I24" s="48">
        <f>E24*F24</f>
        <v/>
      </c>
      <c r="J24" s="48">
        <f>D24*F24</f>
        <v/>
      </c>
      <c r="K24" s="4">
        <f>J24/[0]!한국운송평가</f>
        <v/>
      </c>
      <c r="L24" s="4">
        <f>J24/[0]!한국자산</f>
        <v/>
      </c>
      <c r="M24" s="5">
        <f>J24/[0]!총자산</f>
        <v/>
      </c>
      <c r="N24" s="40">
        <f>COUNTIFS(A:A,A24,F:F,"&gt;0")</f>
        <v/>
      </c>
      <c r="O24" s="49">
        <f>VLOOKUP(A24,#REF!,6,0)</f>
        <v/>
      </c>
      <c r="P24" s="50">
        <f>VLOOKUP(A24,#REF!,4,0)-O24</f>
        <v/>
      </c>
      <c r="Q24" s="50">
        <f>P24/N24</f>
        <v/>
      </c>
      <c r="R24" s="50">
        <f>IF(F24&gt;0,J24-Q24,0)</f>
        <v/>
      </c>
      <c r="S24" s="40">
        <f>IF(H24&gt;0,IF(R24&gt;0,IF(D24&lt;R24,"매도",""),""),IF(R24&lt;0,IF(-D24&gt;R24,"매수",""),""))</f>
        <v/>
      </c>
    </row>
    <row r="25">
      <c r="A25" s="40" t="inlineStr">
        <is>
          <t>서비스</t>
        </is>
      </c>
      <c r="B25" s="32" t="inlineStr">
        <is>
          <t>음악</t>
        </is>
      </c>
      <c r="C25" s="19" t="e">
        <v>#VALUE!</v>
      </c>
      <c r="D25" s="52">
        <f t="array" ref="D25">IFERROR(_FV(C25,"Price"),0)</f>
        <v/>
      </c>
      <c r="E25" s="52" t="n"/>
      <c r="F25" s="16" t="n"/>
      <c r="G25" s="52">
        <f>D25*F25-E25*F25</f>
        <v/>
      </c>
      <c r="H25" s="17">
        <f>IFERROR(D25/E25-1,0)</f>
        <v/>
      </c>
      <c r="I25" s="52">
        <f>E25*F25</f>
        <v/>
      </c>
      <c r="J25" s="52">
        <f>D25*F25</f>
        <v/>
      </c>
      <c r="K25" s="17">
        <f>J25/[0]!한국서비스평가</f>
        <v/>
      </c>
      <c r="L25" s="17">
        <f>J25/[0]!한국자산</f>
        <v/>
      </c>
      <c r="M25" s="18">
        <f>J25/[0]!총자산</f>
        <v/>
      </c>
      <c r="N25" s="40">
        <f>COUNTIFS(A:A,A25,F:F,"&gt;0")</f>
        <v/>
      </c>
      <c r="O25" s="49">
        <f>VLOOKUP(A25,#REF!,6,0)</f>
        <v/>
      </c>
      <c r="P25" s="50">
        <f>VLOOKUP(A25,#REF!,4,0)-O25</f>
        <v/>
      </c>
      <c r="Q25" s="50">
        <f>P25/N25</f>
        <v/>
      </c>
      <c r="R25" s="50">
        <f>IF(F25&gt;0,J25-Q25,0)</f>
        <v/>
      </c>
      <c r="S25" s="40">
        <f>IF(H25&gt;0,IF(R25&gt;0,IF(D25&lt;R25,"매도",""),""),IF(R25&lt;0,IF(-D25&gt;R25,"매수",""),""))</f>
        <v/>
      </c>
    </row>
    <row r="26">
      <c r="A26" s="40" t="inlineStr">
        <is>
          <t>서비스</t>
        </is>
      </c>
      <c r="B26" s="35" t="inlineStr">
        <is>
          <t>음악</t>
        </is>
      </c>
      <c r="C26" s="30" t="e">
        <v>#VALUE!</v>
      </c>
      <c r="D26" s="51">
        <f t="array" ref="D26">IFERROR(_FV(C26,"Price"),0)</f>
        <v/>
      </c>
      <c r="E26" s="51" t="n"/>
      <c r="F26" s="7" t="n"/>
      <c r="G26" s="51">
        <f>D26*F26-E26*F26</f>
        <v/>
      </c>
      <c r="H26" s="8">
        <f>IFERROR(D26/E26-1,0)</f>
        <v/>
      </c>
      <c r="I26" s="51">
        <f>E26*F26</f>
        <v/>
      </c>
      <c r="J26" s="51">
        <f>D26*F26</f>
        <v/>
      </c>
      <c r="K26" s="8">
        <f>J26/[0]!한국서비스평가</f>
        <v/>
      </c>
      <c r="L26" s="8">
        <f>J26/[0]!한국자산</f>
        <v/>
      </c>
      <c r="M26" s="9">
        <f>J26/[0]!총자산</f>
        <v/>
      </c>
      <c r="N26" s="40">
        <f>COUNTIFS(A:A,A26,F:F,"&gt;0")</f>
        <v/>
      </c>
      <c r="O26" s="49">
        <f>VLOOKUP(A26,#REF!,6,0)</f>
        <v/>
      </c>
      <c r="P26" s="50">
        <f>VLOOKUP(A26,#REF!,4,0)-O26</f>
        <v/>
      </c>
      <c r="Q26" s="50">
        <f>P26/N26</f>
        <v/>
      </c>
      <c r="R26" s="50">
        <f>IF(F26&gt;0,J26-Q26,0)</f>
        <v/>
      </c>
      <c r="S26" s="40">
        <f>IF(H26&gt;0,IF(R26&gt;0,IF(D26&lt;R26,"매도",""),""),IF(R26&lt;0,IF(-D26&gt;R26,"매수",""),""))</f>
        <v/>
      </c>
    </row>
    <row r="27">
      <c r="A27" s="40" t="inlineStr">
        <is>
          <t>서비스</t>
        </is>
      </c>
      <c r="B27" s="35" t="inlineStr">
        <is>
          <t>음악</t>
        </is>
      </c>
      <c r="C27" s="30" t="e">
        <v>#VALUE!</v>
      </c>
      <c r="D27" s="51">
        <f t="array" ref="D27">IFERROR(_FV(C27,"Price"),0)</f>
        <v/>
      </c>
      <c r="E27" s="51" t="n"/>
      <c r="F27" s="7" t="n"/>
      <c r="G27" s="51">
        <f>D27*F27-E27*F27</f>
        <v/>
      </c>
      <c r="H27" s="8">
        <f>IFERROR(D27/E27-1,0)</f>
        <v/>
      </c>
      <c r="I27" s="51">
        <f>E27*F27</f>
        <v/>
      </c>
      <c r="J27" s="51">
        <f>D27*F27</f>
        <v/>
      </c>
      <c r="K27" s="8">
        <f>J27/[0]!한국서비스평가</f>
        <v/>
      </c>
      <c r="L27" s="8">
        <f>J27/[0]!한국자산</f>
        <v/>
      </c>
      <c r="M27" s="9">
        <f>J27/[0]!총자산</f>
        <v/>
      </c>
      <c r="N27" s="40">
        <f>COUNTIFS(A:A,A27,F:F,"&gt;0")</f>
        <v/>
      </c>
      <c r="O27" s="49">
        <f>VLOOKUP(A27,#REF!,6,0)</f>
        <v/>
      </c>
      <c r="P27" s="50">
        <f>VLOOKUP(A27,#REF!,4,0)-O27</f>
        <v/>
      </c>
      <c r="Q27" s="50">
        <f>P27/N27</f>
        <v/>
      </c>
      <c r="R27" s="50">
        <f>IF(F27&gt;0,J27-Q27,0)</f>
        <v/>
      </c>
      <c r="S27" s="40">
        <f>IF(H27&gt;0,IF(R27&gt;0,IF(D27&lt;R27,"매도",""),""),IF(R27&lt;0,IF(-D27&gt;R27,"매수",""),""))</f>
        <v/>
      </c>
    </row>
    <row r="28" ht="17.25" customHeight="1" s="47" thickBot="1">
      <c r="A28" s="40" t="inlineStr">
        <is>
          <t>서비스</t>
        </is>
      </c>
      <c r="B28" s="34" t="inlineStr">
        <is>
          <t>음악</t>
        </is>
      </c>
      <c r="C28" s="31" t="e">
        <v>#VALUE!</v>
      </c>
      <c r="D28" s="54">
        <f t="array" ref="D28">IFERROR(_FV(C28,"Price"),0)</f>
        <v/>
      </c>
      <c r="E28" s="54" t="n"/>
      <c r="F28" s="21" t="n"/>
      <c r="G28" s="54">
        <f>D28*F28-E28*F28</f>
        <v/>
      </c>
      <c r="H28" s="22">
        <f>IFERROR(D28/E28-1,0)</f>
        <v/>
      </c>
      <c r="I28" s="54">
        <f>E28*F28</f>
        <v/>
      </c>
      <c r="J28" s="54">
        <f>D28*F28</f>
        <v/>
      </c>
      <c r="K28" s="22">
        <f>J28/[0]!한국서비스평가</f>
        <v/>
      </c>
      <c r="L28" s="22">
        <f>J28/[0]!한국자산</f>
        <v/>
      </c>
      <c r="M28" s="23">
        <f>J28/[0]!총자산</f>
        <v/>
      </c>
      <c r="N28" s="40">
        <f>COUNTIFS(A:A,A28,F:F,"&gt;0")</f>
        <v/>
      </c>
      <c r="O28" s="49">
        <f>VLOOKUP(A28,#REF!,6,0)</f>
        <v/>
      </c>
      <c r="P28" s="50">
        <f>VLOOKUP(A28,#REF!,4,0)-O28</f>
        <v/>
      </c>
      <c r="Q28" s="50">
        <f>P28/N28</f>
        <v/>
      </c>
      <c r="R28" s="50">
        <f>IF(F28&gt;0,J28-Q28,0)</f>
        <v/>
      </c>
      <c r="S28" s="40">
        <f>IF(H28&gt;0,IF(R28&gt;0,IF(D28&lt;R28,"매도",""),""),IF(R28&lt;0,IF(-D28&gt;R28,"매수",""),""))</f>
        <v/>
      </c>
    </row>
    <row r="29">
      <c r="A29" s="40" t="inlineStr">
        <is>
          <t>서비스</t>
        </is>
      </c>
      <c r="B29" s="32" t="inlineStr">
        <is>
          <t>게임</t>
        </is>
      </c>
      <c r="C29" s="19" t="e">
        <v>#VALUE!</v>
      </c>
      <c r="D29" s="52">
        <f t="array" ref="D29">IFERROR(_FV(C29,"Price"),0)</f>
        <v/>
      </c>
      <c r="E29" s="52" t="n"/>
      <c r="F29" s="16" t="n"/>
      <c r="G29" s="52">
        <f>D29*F29-E29*F29</f>
        <v/>
      </c>
      <c r="H29" s="17">
        <f>IFERROR(D29/E29-1,0)</f>
        <v/>
      </c>
      <c r="I29" s="52">
        <f>E29*F29</f>
        <v/>
      </c>
      <c r="J29" s="52">
        <f>D29*F29</f>
        <v/>
      </c>
      <c r="K29" s="17">
        <f>J29/[0]!한국서비스평가</f>
        <v/>
      </c>
      <c r="L29" s="17">
        <f>J29/[0]!한국자산</f>
        <v/>
      </c>
      <c r="M29" s="18">
        <f>J29/[0]!총자산</f>
        <v/>
      </c>
      <c r="N29" s="40">
        <f>COUNTIFS(A:A,A29,F:F,"&gt;0")</f>
        <v/>
      </c>
      <c r="O29" s="49">
        <f>VLOOKUP(A29,#REF!,6,0)</f>
        <v/>
      </c>
      <c r="P29" s="50">
        <f>VLOOKUP(A29,#REF!,4,0)-O29</f>
        <v/>
      </c>
      <c r="Q29" s="50">
        <f>P29/N29</f>
        <v/>
      </c>
      <c r="R29" s="50">
        <f>IF(F29&gt;0,J29-Q29,0)</f>
        <v/>
      </c>
      <c r="S29" s="40">
        <f>IF(H29&gt;0,IF(R29&gt;0,IF(D29&lt;R29,"매도",""),""),IF(R29&lt;0,IF(-D29&gt;R29,"매수",""),""))</f>
        <v/>
      </c>
    </row>
    <row r="30">
      <c r="A30" s="40" t="inlineStr">
        <is>
          <t>서비스</t>
        </is>
      </c>
      <c r="B30" s="35" t="inlineStr">
        <is>
          <t>게임</t>
        </is>
      </c>
      <c r="C30" s="30" t="e">
        <v>#VALUE!</v>
      </c>
      <c r="D30" s="51">
        <f t="array" ref="D30">IFERROR(_FV(C30,"Price"),0)</f>
        <v/>
      </c>
      <c r="E30" s="51" t="n"/>
      <c r="F30" s="7" t="n"/>
      <c r="G30" s="51">
        <f>D30*F30-E30*F30</f>
        <v/>
      </c>
      <c r="H30" s="8">
        <f>IFERROR(D30/E30-1,0)</f>
        <v/>
      </c>
      <c r="I30" s="51">
        <f>E30*F30</f>
        <v/>
      </c>
      <c r="J30" s="51">
        <f>D30*F30</f>
        <v/>
      </c>
      <c r="K30" s="8">
        <f>J30/[0]!한국서비스평가</f>
        <v/>
      </c>
      <c r="L30" s="8">
        <f>J30/[0]!한국자산</f>
        <v/>
      </c>
      <c r="M30" s="9">
        <f>J30/[0]!총자산</f>
        <v/>
      </c>
      <c r="N30" s="40">
        <f>COUNTIFS(A:A,A30,F:F,"&gt;0")</f>
        <v/>
      </c>
      <c r="O30" s="49">
        <f>VLOOKUP(A30,#REF!,6,0)</f>
        <v/>
      </c>
      <c r="P30" s="50">
        <f>VLOOKUP(A30,#REF!,4,0)-O30</f>
        <v/>
      </c>
      <c r="Q30" s="50">
        <f>P30/N30</f>
        <v/>
      </c>
      <c r="R30" s="50">
        <f>IF(F30&gt;0,J30-Q30,0)</f>
        <v/>
      </c>
      <c r="S30" s="40">
        <f>IF(H30&gt;0,IF(R30&gt;0,IF(D30&lt;R30,"매도",""),""),IF(R30&lt;0,IF(-D30&gt;R30,"매수",""),""))</f>
        <v/>
      </c>
    </row>
    <row r="31">
      <c r="A31" s="40" t="inlineStr">
        <is>
          <t>서비스</t>
        </is>
      </c>
      <c r="B31" s="35" t="inlineStr">
        <is>
          <t>게임</t>
        </is>
      </c>
      <c r="C31" s="30" t="e">
        <v>#VALUE!</v>
      </c>
      <c r="D31" s="51">
        <f t="array" ref="D31">IFERROR(_FV(C31,"Price"),0)</f>
        <v/>
      </c>
      <c r="E31" s="51" t="n"/>
      <c r="F31" s="7" t="n"/>
      <c r="G31" s="51">
        <f>D31*F31-E31*F31</f>
        <v/>
      </c>
      <c r="H31" s="8">
        <f>IFERROR(D31/E31-1,0)</f>
        <v/>
      </c>
      <c r="I31" s="51">
        <f>E31*F31</f>
        <v/>
      </c>
      <c r="J31" s="51">
        <f>D31*F31</f>
        <v/>
      </c>
      <c r="K31" s="8">
        <f>J31/[0]!한국서비스평가</f>
        <v/>
      </c>
      <c r="L31" s="8">
        <f>J31/[0]!한국자산</f>
        <v/>
      </c>
      <c r="M31" s="9">
        <f>J31/[0]!총자산</f>
        <v/>
      </c>
      <c r="N31" s="40">
        <f>COUNTIFS(A:A,A31,F:F,"&gt;0")</f>
        <v/>
      </c>
      <c r="O31" s="49">
        <f>VLOOKUP(A31,#REF!,6,0)</f>
        <v/>
      </c>
      <c r="P31" s="50">
        <f>VLOOKUP(A31,#REF!,4,0)-O31</f>
        <v/>
      </c>
      <c r="Q31" s="50">
        <f>P31/N31</f>
        <v/>
      </c>
      <c r="R31" s="50">
        <f>IF(F31&gt;0,J31-Q31,0)</f>
        <v/>
      </c>
      <c r="S31" s="40">
        <f>IF(H31&gt;0,IF(R31&gt;0,IF(D31&lt;R31,"매도",""),""),IF(R31&lt;0,IF(-D31&gt;R31,"매수",""),""))</f>
        <v/>
      </c>
    </row>
    <row r="32" ht="17.25" customHeight="1" s="47" thickBot="1">
      <c r="A32" s="40" t="inlineStr">
        <is>
          <t>서비스</t>
        </is>
      </c>
      <c r="B32" s="34" t="inlineStr">
        <is>
          <t>게임</t>
        </is>
      </c>
      <c r="C32" s="31" t="inlineStr">
        <is>
          <t>크래프톤</t>
        </is>
      </c>
      <c r="D32" s="54">
        <f t="array" ref="D32">IFERROR(_FV(C32,"Price"),0)</f>
        <v/>
      </c>
      <c r="E32" s="54" t="n"/>
      <c r="F32" s="21" t="n"/>
      <c r="G32" s="54">
        <f>D32*F32-E32*F32</f>
        <v/>
      </c>
      <c r="H32" s="22">
        <f>IFERROR(D32/E32-1,0)</f>
        <v/>
      </c>
      <c r="I32" s="54">
        <f>E32*F32</f>
        <v/>
      </c>
      <c r="J32" s="54">
        <f>D32*F32</f>
        <v/>
      </c>
      <c r="K32" s="22">
        <f>J32/[0]!한국서비스평가</f>
        <v/>
      </c>
      <c r="L32" s="22">
        <f>J32/[0]!한국자산</f>
        <v/>
      </c>
      <c r="M32" s="23">
        <f>J32/[0]!총자산</f>
        <v/>
      </c>
      <c r="N32" s="40">
        <f>COUNTIFS(A:A,A32,F:F,"&gt;0")</f>
        <v/>
      </c>
      <c r="O32" s="49">
        <f>VLOOKUP(A32,#REF!,6,0)</f>
        <v/>
      </c>
      <c r="P32" s="50">
        <f>VLOOKUP(A32,#REF!,4,0)-O32</f>
        <v/>
      </c>
      <c r="Q32" s="50">
        <f>P32/N32</f>
        <v/>
      </c>
      <c r="R32" s="50">
        <f>IF(F32&gt;0,J32-Q32,0)</f>
        <v/>
      </c>
      <c r="S32" s="40">
        <f>IF(H32&gt;0,IF(R32&gt;0,IF(D32&lt;R32,"매도",""),""),IF(R32&lt;0,IF(-D32&gt;R32,"매수",""),""))</f>
        <v/>
      </c>
    </row>
    <row r="33" ht="17.25" customHeight="1" s="47" thickBot="1">
      <c r="A33" s="46" t="inlineStr">
        <is>
          <t>바이오</t>
        </is>
      </c>
      <c r="B33" s="37" t="inlineStr">
        <is>
          <t>코로나(백신)</t>
        </is>
      </c>
      <c r="C33" s="30" t="e">
        <v>#VALUE!</v>
      </c>
      <c r="D33" s="51">
        <f t="array" ref="D33">IFERROR(_FV(C33,"Price"),0)</f>
        <v/>
      </c>
      <c r="E33" s="51" t="n"/>
      <c r="F33" s="7" t="n"/>
      <c r="G33" s="51">
        <f>D33*F33-E33*F33</f>
        <v/>
      </c>
      <c r="H33" s="8">
        <f>IFERROR(D33/E33-1,0)</f>
        <v/>
      </c>
      <c r="I33" s="51">
        <f>E33*F33</f>
        <v/>
      </c>
      <c r="J33" s="51">
        <f>D33*F33</f>
        <v/>
      </c>
      <c r="K33" s="8">
        <f>J33/[0]!한국바이오평가</f>
        <v/>
      </c>
      <c r="L33" s="8">
        <f>J33/[0]!한국자산</f>
        <v/>
      </c>
      <c r="M33" s="9">
        <f>J33/[0]!총자산</f>
        <v/>
      </c>
      <c r="N33" s="40">
        <f>COUNTIFS(A:A,A33,F:F,"&gt;0")</f>
        <v/>
      </c>
      <c r="O33" s="49">
        <f>VLOOKUP(A33,#REF!,6,0)</f>
        <v/>
      </c>
      <c r="P33" s="50">
        <f>VLOOKUP(A33,#REF!,4,0)-O33</f>
        <v/>
      </c>
      <c r="Q33" s="50">
        <f>P33/N33</f>
        <v/>
      </c>
      <c r="R33" s="50">
        <f>IF(F33&gt;0,J33-Q33,0)</f>
        <v/>
      </c>
      <c r="S33" s="40">
        <f>IF(H33&gt;0,IF(R33&gt;0,IF(D33&lt;R33,"매도",""),""),IF(R33&lt;0,IF(-D33&gt;R33,"매수",""),""))</f>
        <v/>
      </c>
    </row>
    <row r="34" ht="17.25" customHeight="1" s="47" thickBot="1">
      <c r="A34" s="46" t="inlineStr">
        <is>
          <t>바이오</t>
        </is>
      </c>
      <c r="B34" s="35" t="inlineStr">
        <is>
          <t>코로나(경구)</t>
        </is>
      </c>
      <c r="C34" s="30" t="e">
        <v>#VALUE!</v>
      </c>
      <c r="D34" s="51">
        <f t="array" ref="D34">IFERROR(_FV(C34,"Price"),0)</f>
        <v/>
      </c>
      <c r="E34" s="51" t="n">
        <v>0</v>
      </c>
      <c r="F34" s="7" t="n">
        <v>0</v>
      </c>
      <c r="G34" s="51">
        <f>D34*F34-E34*F34</f>
        <v/>
      </c>
      <c r="H34" s="8">
        <f>IFERROR(D34/E34-1,0)</f>
        <v/>
      </c>
      <c r="I34" s="51">
        <f>E34*F34</f>
        <v/>
      </c>
      <c r="J34" s="51">
        <f>D34*F34</f>
        <v/>
      </c>
      <c r="K34" s="8">
        <f>J34/[0]!한국바이오평가</f>
        <v/>
      </c>
      <c r="L34" s="8">
        <f>J34/[0]!한국자산</f>
        <v/>
      </c>
      <c r="M34" s="9">
        <f>J34/[0]!총자산</f>
        <v/>
      </c>
      <c r="N34" s="40">
        <f>COUNTIFS(A:A,A34,F:F,"&gt;0")</f>
        <v/>
      </c>
      <c r="O34" s="49">
        <f>VLOOKUP(A34,#REF!,6,0)</f>
        <v/>
      </c>
      <c r="P34" s="50">
        <f>VLOOKUP(A34,#REF!,4,0)-O34</f>
        <v/>
      </c>
      <c r="Q34" s="50">
        <f>P34/N34</f>
        <v/>
      </c>
      <c r="R34" s="50">
        <f>IF(F34&gt;0,J34-Q34,0)</f>
        <v/>
      </c>
      <c r="S34" s="40">
        <f>IF(H34&gt;0,IF(R34&gt;0,IF(D34&lt;R34,"매도",""),""),IF(R34&lt;0,IF(-D34&gt;R34,"매수",""),""))</f>
        <v/>
      </c>
    </row>
    <row r="35" ht="17.25" customHeight="1" s="47" thickBot="1">
      <c r="A35" s="42" t="inlineStr">
        <is>
          <t>바이오</t>
        </is>
      </c>
      <c r="B35" s="32" t="inlineStr">
        <is>
          <t>종합</t>
        </is>
      </c>
      <c r="C35" s="19" t="inlineStr">
        <is>
          <t>에스디바이오센서</t>
        </is>
      </c>
      <c r="D35" s="52">
        <f t="array" ref="D35">IFERROR(_FV(C35,"Price"),0)</f>
        <v/>
      </c>
      <c r="E35" s="52" t="n"/>
      <c r="F35" s="16" t="n"/>
      <c r="G35" s="52">
        <f>D35*F35-E35*F35</f>
        <v/>
      </c>
      <c r="H35" s="17">
        <f>IFERROR(D35/E35-1,0)</f>
        <v/>
      </c>
      <c r="I35" s="52">
        <f>E35*F35</f>
        <v/>
      </c>
      <c r="J35" s="52">
        <f>D35*F35</f>
        <v/>
      </c>
      <c r="K35" s="17">
        <f>J35/[0]!한국바이오평가</f>
        <v/>
      </c>
      <c r="L35" s="17">
        <f>J35/[0]!한국자산</f>
        <v/>
      </c>
      <c r="M35" s="18">
        <f>J35/[0]!총자산</f>
        <v/>
      </c>
      <c r="N35" s="40">
        <f>COUNTIFS(A:A,A35,F:F,"&gt;0")</f>
        <v/>
      </c>
      <c r="O35" s="49">
        <f>VLOOKUP(A35,#REF!,6,0)</f>
        <v/>
      </c>
      <c r="P35" s="50">
        <f>VLOOKUP(A35,#REF!,4,0)-O35</f>
        <v/>
      </c>
      <c r="Q35" s="50">
        <f>P35/N35</f>
        <v/>
      </c>
      <c r="R35" s="50">
        <f>IF(F35&gt;0,J35-Q35,0)</f>
        <v/>
      </c>
      <c r="S35" s="40">
        <f>IF(H35&gt;0,IF(R35&gt;0,IF(D35&lt;R35,"매도",""),""),IF(R35&lt;0,IF(-D35&gt;R35,"매수",""),""))</f>
        <v/>
      </c>
    </row>
    <row r="36" ht="17.25" customHeight="1" s="47" thickBot="1">
      <c r="A36" s="46" t="inlineStr">
        <is>
          <t>금융</t>
        </is>
      </c>
      <c r="B36" s="35" t="inlineStr">
        <is>
          <t>증권</t>
        </is>
      </c>
      <c r="C36" s="30" t="e">
        <v>#VALUE!</v>
      </c>
      <c r="D36" s="51">
        <f t="array" ref="D36">IFERROR(_FV(C36,"Price"),0)</f>
        <v/>
      </c>
      <c r="E36" s="51" t="n"/>
      <c r="F36" s="7" t="n"/>
      <c r="G36" s="51">
        <f>D36*F36-E36*F36</f>
        <v/>
      </c>
      <c r="H36" s="8">
        <f>IFERROR(D36/E36-1,0)</f>
        <v/>
      </c>
      <c r="I36" s="51">
        <f>E36*F36</f>
        <v/>
      </c>
      <c r="J36" s="51">
        <f>D36*F36</f>
        <v/>
      </c>
      <c r="K36" s="8">
        <f>J36/[0]!한국금융평가</f>
        <v/>
      </c>
      <c r="L36" s="8">
        <f>J36/[0]!한국자산</f>
        <v/>
      </c>
      <c r="M36" s="9">
        <f>J36/[0]!총자산</f>
        <v/>
      </c>
      <c r="N36" s="40">
        <f>COUNTIFS(A:A,A36,F:F,"&gt;0")</f>
        <v/>
      </c>
      <c r="O36" s="49">
        <f>VLOOKUP(A36,#REF!,6,0)</f>
        <v/>
      </c>
      <c r="P36" s="50">
        <f>VLOOKUP(A36,#REF!,4,0)-O36</f>
        <v/>
      </c>
      <c r="Q36" s="50">
        <f>P36/N36</f>
        <v/>
      </c>
      <c r="R36" s="50">
        <f>IF(F36&gt;0,J36-Q36,0)</f>
        <v/>
      </c>
      <c r="S36" s="40">
        <f>IF(H36&gt;0,IF(R36&gt;0,IF(D36&lt;R36,"매도",""),""),IF(R36&lt;0,IF(-D36&gt;R36,"매수",""),""))</f>
        <v/>
      </c>
    </row>
    <row r="37">
      <c r="A37" s="36" t="inlineStr">
        <is>
          <t>금융</t>
        </is>
      </c>
      <c r="B37" s="37" t="inlineStr">
        <is>
          <t>은행</t>
        </is>
      </c>
      <c r="C37" s="1" t="e">
        <v>#VALUE!</v>
      </c>
      <c r="D37" s="48">
        <f t="array" ref="D37">IFERROR(_FV(C37,"Price"),0)</f>
        <v/>
      </c>
      <c r="E37" s="48" t="n"/>
      <c r="F37" s="3" t="n">
        <v>0</v>
      </c>
      <c r="G37" s="48">
        <f>D37*F37-E37*F37</f>
        <v/>
      </c>
      <c r="H37" s="4">
        <f>IFERROR(D37/E37-1,0)</f>
        <v/>
      </c>
      <c r="I37" s="48">
        <f>E37*F37</f>
        <v/>
      </c>
      <c r="J37" s="48">
        <f>D37*F37</f>
        <v/>
      </c>
      <c r="K37" s="4">
        <f>J37/[0]!한국금융평가</f>
        <v/>
      </c>
      <c r="L37" s="4">
        <f>J37/[0]!한국자산</f>
        <v/>
      </c>
      <c r="M37" s="5">
        <f>J37/[0]!총자산</f>
        <v/>
      </c>
      <c r="N37" s="40">
        <f>COUNTIFS(A:A,A37,F:F,"&gt;0")</f>
        <v/>
      </c>
      <c r="O37" s="49">
        <f>VLOOKUP(A37,#REF!,6,0)</f>
        <v/>
      </c>
      <c r="P37" s="50">
        <f>VLOOKUP(A37,#REF!,4,0)-O37</f>
        <v/>
      </c>
      <c r="Q37" s="50">
        <f>P37/N37</f>
        <v/>
      </c>
      <c r="R37" s="50">
        <f>IF(F37&gt;0,J37-Q37,0)</f>
        <v/>
      </c>
      <c r="S37" s="40">
        <f>IF(H37&gt;0,IF(R37&gt;0,IF(D37&lt;R37,"매도",""),""),IF(R37&lt;0,IF(-D37&gt;R37,"매수",""),""))</f>
        <v/>
      </c>
    </row>
    <row r="38">
      <c r="A38" s="39" t="inlineStr">
        <is>
          <t>경기민감소비재</t>
        </is>
      </c>
      <c r="B38" s="32" t="inlineStr">
        <is>
          <t>자동차</t>
        </is>
      </c>
      <c r="C38" s="30" t="e">
        <v>#VALUE!</v>
      </c>
      <c r="D38" s="51">
        <f t="array" ref="D38">IFERROR(_FV(C38,"Price"),0)</f>
        <v/>
      </c>
      <c r="E38" s="51" t="n"/>
      <c r="F38" s="7" t="n"/>
      <c r="G38" s="51">
        <f>D38*F38-E38*F38</f>
        <v/>
      </c>
      <c r="H38" s="8">
        <f>IFERROR(D38/E38-1,0)</f>
        <v/>
      </c>
      <c r="I38" s="51">
        <f>E38*F38</f>
        <v/>
      </c>
      <c r="J38" s="51">
        <f>D38*F38</f>
        <v/>
      </c>
      <c r="K38" s="8">
        <f>J38/[0]!한국소비재평가</f>
        <v/>
      </c>
      <c r="L38" s="8">
        <f>J38/[0]!한국자산</f>
        <v/>
      </c>
      <c r="M38" s="9">
        <f>J38/[0]!총자산</f>
        <v/>
      </c>
      <c r="N38" s="40">
        <f>COUNTIFS(A:A,A38,F:F,"&gt;0")</f>
        <v/>
      </c>
      <c r="O38" s="49">
        <f>VLOOKUP(A38,#REF!,6,0)</f>
        <v/>
      </c>
      <c r="P38" s="50">
        <f>VLOOKUP(A38,#REF!,4,0)-O38</f>
        <v/>
      </c>
      <c r="Q38" s="50">
        <f>P38/N38</f>
        <v/>
      </c>
      <c r="R38" s="50">
        <f>IF(F38&gt;0,J38-Q38,0)</f>
        <v/>
      </c>
      <c r="S38" s="40">
        <f>IF(H38&gt;0,IF(R38&gt;0,IF(D38&lt;R38,"매도",""),""),IF(R38&lt;0,IF(-D38&gt;R38,"매수",""),""))</f>
        <v/>
      </c>
    </row>
    <row r="39">
      <c r="A39" s="39" t="inlineStr">
        <is>
          <t>경기민감소비재</t>
        </is>
      </c>
      <c r="B39" s="33" t="inlineStr">
        <is>
          <t>자동차</t>
        </is>
      </c>
      <c r="C39" s="30" t="e">
        <v>#VALUE!</v>
      </c>
      <c r="D39" s="51">
        <f t="array" ref="D39">IFERROR(_FV(C39,"Price"),0)</f>
        <v/>
      </c>
      <c r="E39" s="51" t="n"/>
      <c r="F39" s="7" t="n"/>
      <c r="G39" s="51">
        <f>D39*F39-E39*F39</f>
        <v/>
      </c>
      <c r="H39" s="8">
        <f>IFERROR(D39/E39-1,0)</f>
        <v/>
      </c>
      <c r="I39" s="51">
        <f>E39*F39</f>
        <v/>
      </c>
      <c r="J39" s="51">
        <f>D39*F39</f>
        <v/>
      </c>
      <c r="K39" s="8">
        <f>J39/[0]!한국소비재평가</f>
        <v/>
      </c>
      <c r="L39" s="8">
        <f>J39/[0]!한국자산</f>
        <v/>
      </c>
      <c r="M39" s="9">
        <f>J39/[0]!총자산</f>
        <v/>
      </c>
      <c r="N39" s="40">
        <f>COUNTIFS(A:A,A39,F:F,"&gt;0")</f>
        <v/>
      </c>
      <c r="O39" s="49">
        <f>VLOOKUP(A39,#REF!,6,0)</f>
        <v/>
      </c>
      <c r="P39" s="50">
        <f>VLOOKUP(A39,#REF!,4,0)-O39</f>
        <v/>
      </c>
      <c r="Q39" s="50">
        <f>P39/N39</f>
        <v/>
      </c>
      <c r="R39" s="50">
        <f>IF(F39&gt;0,J39-Q39,0)</f>
        <v/>
      </c>
      <c r="S39" s="40">
        <f>IF(H39&gt;0,IF(R39&gt;0,IF(D39&lt;R39,"매도",""),""),IF(R39&lt;0,IF(-D39&gt;R39,"매수",""),""))</f>
        <v/>
      </c>
    </row>
    <row r="40">
      <c r="A40" s="39" t="inlineStr">
        <is>
          <t>경기민감소비재</t>
        </is>
      </c>
      <c r="B40" s="32" t="inlineStr">
        <is>
          <t>옷</t>
        </is>
      </c>
      <c r="C40" s="19" t="e">
        <v>#VALUE!</v>
      </c>
      <c r="D40" s="52">
        <f t="array" ref="D40">IFERROR(_FV(C40,"Price"),0)</f>
        <v/>
      </c>
      <c r="E40" s="52" t="n"/>
      <c r="F40" s="16" t="n"/>
      <c r="G40" s="52">
        <f>D40*F40-E40*F40</f>
        <v/>
      </c>
      <c r="H40" s="17">
        <f>IFERROR(D40/E40-1,0)</f>
        <v/>
      </c>
      <c r="I40" s="52">
        <f>E40*F40</f>
        <v/>
      </c>
      <c r="J40" s="52">
        <f>D40*F40</f>
        <v/>
      </c>
      <c r="K40" s="17">
        <f>J40/[0]!한국소비재평가</f>
        <v/>
      </c>
      <c r="L40" s="17">
        <f>J40/[0]!한국자산</f>
        <v/>
      </c>
      <c r="M40" s="18">
        <f>J40/[0]!총자산</f>
        <v/>
      </c>
      <c r="N40" s="40">
        <f>COUNTIFS(A:A,A40,F:F,"&gt;0")</f>
        <v/>
      </c>
      <c r="O40" s="49">
        <f>VLOOKUP(A40,#REF!,6,0)</f>
        <v/>
      </c>
      <c r="P40" s="50">
        <f>VLOOKUP(A40,#REF!,4,0)-O40</f>
        <v/>
      </c>
      <c r="Q40" s="50">
        <f>P40/N40</f>
        <v/>
      </c>
      <c r="R40" s="50">
        <f>IF(F40&gt;0,J40-Q40,0)</f>
        <v/>
      </c>
      <c r="S40" s="40">
        <f>IF(H40&gt;0,IF(R40&gt;0,IF(D40&lt;R40,"매도",""),""),IF(R40&lt;0,IF(-D40&gt;R40,"매수",""),""))</f>
        <v/>
      </c>
    </row>
    <row r="41">
      <c r="A41" s="39" t="inlineStr">
        <is>
          <t>경기민감소비재</t>
        </is>
      </c>
      <c r="B41" s="32" t="inlineStr">
        <is>
          <t>소비재</t>
        </is>
      </c>
      <c r="C41" s="30" t="e">
        <v>#VALUE!</v>
      </c>
      <c r="D41" s="51">
        <f t="array" ref="D41">IFERROR(_FV(C41,"Price"),0)</f>
        <v/>
      </c>
      <c r="E41" s="51" t="n"/>
      <c r="F41" s="7" t="n"/>
      <c r="G41" s="51">
        <f>D41*F41-E41*F41</f>
        <v/>
      </c>
      <c r="H41" s="8">
        <f>IFERROR(D41/E41-1,0)</f>
        <v/>
      </c>
      <c r="I41" s="51">
        <f>E41*F41</f>
        <v/>
      </c>
      <c r="J41" s="51">
        <f>D41*F41</f>
        <v/>
      </c>
      <c r="K41" s="8">
        <f>J41/[0]!한국소비재평가</f>
        <v/>
      </c>
      <c r="L41" s="8">
        <f>J41/[0]!한국자산</f>
        <v/>
      </c>
      <c r="M41" s="9">
        <f>J41/[0]!총자산</f>
        <v/>
      </c>
      <c r="N41" s="40">
        <f>COUNTIFS(A:A,A41,F:F,"&gt;0")</f>
        <v/>
      </c>
      <c r="O41" s="49">
        <f>VLOOKUP(A41,#REF!,6,0)</f>
        <v/>
      </c>
      <c r="P41" s="50">
        <f>VLOOKUP(A41,#REF!,4,0)-O41</f>
        <v/>
      </c>
      <c r="Q41" s="50">
        <f>P41/N41</f>
        <v/>
      </c>
      <c r="R41" s="50">
        <f>IF(F41&gt;0,J41-Q41,0)</f>
        <v/>
      </c>
      <c r="S41" s="40">
        <f>IF(H41&gt;0,IF(R41&gt;0,IF(D41&lt;R41,"매도",""),""),IF(R41&lt;0,IF(-D41&gt;R41,"매수",""),""))</f>
        <v/>
      </c>
    </row>
  </sheetData>
  <autoFilter ref="A1:M1">
    <sortState ref="A2:M41">
      <sortCondition descending="1" ref="L1"/>
    </sortState>
  </autoFilter>
  <conditionalFormatting sqref="D24:M41 D2:M22">
    <cfRule type="cellIs" priority="23" operator="equal" dxfId="4">
      <formula>0</formula>
    </cfRule>
  </conditionalFormatting>
  <conditionalFormatting sqref="D23:M23">
    <cfRule type="cellIs" priority="12" operator="equal" dxfId="4">
      <formula>0</formula>
    </cfRule>
  </conditionalFormatting>
  <conditionalFormatting sqref="R2:R41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S1:S1048576">
    <cfRule type="cellIs" priority="1" operator="equal" dxfId="1">
      <formula>"매도"</formula>
    </cfRule>
    <cfRule type="cellIs" priority="2" operator="equal" dxfId="0">
      <formula>"매수"</formula>
    </cfRule>
  </conditionalFormatting>
  <conditionalFormatting sqref="K37:K41">
    <cfRule type="colorScale" priority="601">
      <colorScale>
        <cfvo type="min"/>
        <cfvo type="max"/>
        <color rgb="FFFCFCFF"/>
        <color rgb="FFF8696B"/>
      </colorScale>
    </cfRule>
  </conditionalFormatting>
  <conditionalFormatting sqref="K33:K36">
    <cfRule type="colorScale" priority="692">
      <colorScale>
        <cfvo type="min"/>
        <cfvo type="max"/>
        <color rgb="FFFCFCFF"/>
        <color rgb="FFF8696B"/>
      </colorScale>
    </cfRule>
  </conditionalFormatting>
  <conditionalFormatting sqref="K29:K32 K2:K7">
    <cfRule type="colorScale" priority="786">
      <colorScale>
        <cfvo type="min"/>
        <cfvo type="max"/>
        <color rgb="FFFCFCFF"/>
        <color rgb="FFF8696B"/>
      </colorScale>
    </cfRule>
  </conditionalFormatting>
  <conditionalFormatting sqref="K24:K28">
    <cfRule type="colorScale" priority="906">
      <colorScale>
        <cfvo type="min"/>
        <cfvo type="max"/>
        <color rgb="FFFCFCFF"/>
        <color rgb="FFF8696B"/>
      </colorScale>
    </cfRule>
  </conditionalFormatting>
  <conditionalFormatting sqref="L24:L41 L2:L22">
    <cfRule type="colorScale" priority="908">
      <colorScale>
        <cfvo type="min"/>
        <cfvo type="max"/>
        <color rgb="FFFCFCFF"/>
        <color rgb="FFF8696B"/>
      </colorScale>
    </cfRule>
  </conditionalFormatting>
  <conditionalFormatting sqref="M24:M41 M2:M22">
    <cfRule type="colorScale" priority="911">
      <colorScale>
        <cfvo type="min"/>
        <cfvo type="max"/>
        <color rgb="FFFCFCFF"/>
        <color rgb="FFF8696B"/>
      </colorScale>
    </cfRule>
  </conditionalFormatting>
  <conditionalFormatting sqref="L23">
    <cfRule type="colorScale" priority="917">
      <colorScale>
        <cfvo type="min"/>
        <cfvo type="max"/>
        <color rgb="FFFCFCFF"/>
        <color rgb="FFF8696B"/>
      </colorScale>
    </cfRule>
  </conditionalFormatting>
  <conditionalFormatting sqref="M23">
    <cfRule type="colorScale" priority="918">
      <colorScale>
        <cfvo type="min"/>
        <cfvo type="max"/>
        <color rgb="FFFCFCFF"/>
        <color rgb="FFF8696B"/>
      </colorScale>
    </cfRule>
  </conditionalFormatting>
  <conditionalFormatting sqref="K23">
    <cfRule type="colorScale" priority="919">
      <colorScale>
        <cfvo type="min"/>
        <cfvo type="max"/>
        <color rgb="FFFCFCFF"/>
        <color rgb="FFF8696B"/>
      </colorScale>
    </cfRule>
  </conditionalFormatting>
  <conditionalFormatting sqref="K21:K22">
    <cfRule type="colorScale" priority="970">
      <colorScale>
        <cfvo type="min"/>
        <cfvo type="max"/>
        <color rgb="FFFCFCFF"/>
        <color rgb="FFF8696B"/>
      </colorScale>
    </cfRule>
  </conditionalFormatting>
  <conditionalFormatting sqref="K15:K20">
    <cfRule type="colorScale" priority="1101">
      <colorScale>
        <cfvo type="min"/>
        <cfvo type="max"/>
        <color rgb="FFFCFCFF"/>
        <color rgb="FFF8696B"/>
      </colorScale>
    </cfRule>
  </conditionalFormatting>
  <conditionalFormatting sqref="K11:K14">
    <cfRule type="colorScale" priority="1188">
      <colorScale>
        <cfvo type="min"/>
        <cfvo type="max"/>
        <color rgb="FFFCFCFF"/>
        <color rgb="FFF8696B"/>
      </colorScale>
    </cfRule>
  </conditionalFormatting>
  <conditionalFormatting sqref="K8:K10">
    <cfRule type="colorScale" priority="1253">
      <colorScale>
        <cfvo type="min"/>
        <cfvo type="max"/>
        <color rgb="FFFCFCFF"/>
        <color rgb="FFF8696B"/>
      </colorScale>
    </cfRule>
  </conditionalFormatting>
  <conditionalFormatting sqref="K2:K4">
    <cfRule type="colorScale" priority="1383">
      <colorScale>
        <cfvo type="min"/>
        <cfvo type="max"/>
        <color rgb="FFFCFCFF"/>
        <color rgb="FFF8696B"/>
      </colorScale>
    </cfRule>
  </conditionalFormatting>
  <conditionalFormatting sqref="G2:G41">
    <cfRule type="colorScale" priority="13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H2:H41">
    <cfRule type="colorScale" priority="1387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seokjong</dc:creator>
  <dcterms:created xmlns:dcterms="http://purl.org/dc/terms/" xmlns:xsi="http://www.w3.org/2001/XMLSchema-instance" xsi:type="dcterms:W3CDTF">2021-07-24T04:46:29Z</dcterms:created>
  <dcterms:modified xmlns:dcterms="http://purl.org/dc/terms/" xmlns:xsi="http://www.w3.org/2001/XMLSchema-instance" xsi:type="dcterms:W3CDTF">2021-07-28T14:55:00Z</dcterms:modified>
  <cp:lastModifiedBy>yoon seokjong</cp:lastModifiedBy>
</cp:coreProperties>
</file>